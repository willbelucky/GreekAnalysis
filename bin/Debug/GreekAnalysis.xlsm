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vstoDataStore/itemProps1.xml" ContentType="application/vnd.openxmlformats-officedocument.customXml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docProps/custom.xml" Id="R09cbd282c8b04e56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willbe\source\repos\GreekAnalysis\"/>
    </mc:Choice>
  </mc:AlternateContent>
  <xr:revisionPtr revIDLastSave="0" documentId="13_ncr:1_{785C0D41-B709-4284-8CCF-F9E37DB011A8}" xr6:coauthVersionLast="45" xr6:coauthVersionMax="45" xr10:uidLastSave="{00000000-0000-0000-0000-000000000000}"/>
  <bookViews>
    <workbookView xWindow="4725" yWindow="1845" windowWidth="21600" windowHeight="11385" activeTab="1" xr2:uid="{D5A5C1F1-0C80-4629-AE94-EEAE9B4C3F23}"/>
  </bookViews>
  <sheets>
    <sheet name="Setting" sheetId="4" r:id="rId1"/>
    <sheet name="Delta" sheetId="3" r:id="rId2"/>
    <sheet name="국내커브" sheetId="1" r:id="rId3"/>
  </sheets>
  <definedNames>
    <definedName name="T">Setting!$B$1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" i="3" l="1"/>
  <c r="K3" i="3"/>
  <c r="L3" i="3"/>
  <c r="M3" i="3"/>
  <c r="N3" i="3"/>
  <c r="O3" i="3"/>
  <c r="P3" i="3"/>
  <c r="Q3" i="3"/>
  <c r="R3" i="3"/>
  <c r="S3" i="3"/>
  <c r="T3" i="3"/>
  <c r="U3" i="3"/>
  <c r="V3" i="3"/>
  <c r="I3" i="3"/>
  <c r="G3" i="3"/>
  <c r="AJ3" i="3"/>
  <c r="AI3" i="3"/>
  <c r="AH3" i="3"/>
  <c r="AG3" i="3"/>
  <c r="AF3" i="3"/>
  <c r="AE3" i="3"/>
  <c r="AC3" i="3"/>
  <c r="AB3" i="3"/>
  <c r="AA3" i="3"/>
  <c r="Z3" i="3"/>
  <c r="Y3" i="3"/>
  <c r="AD3" i="3"/>
  <c r="X3" i="3"/>
  <c r="W3" i="3"/>
</calcChain>
</file>

<file path=xl/sharedStrings.xml><?xml version="1.0" encoding="utf-8"?>
<sst xmlns="http://schemas.openxmlformats.org/spreadsheetml/2006/main" count="122" uniqueCount="122">
  <si>
    <t>단축코드</t>
  </si>
  <si>
    <t>시가그룹명</t>
  </si>
  <si>
    <t>시가그룹수익률(3M)</t>
  </si>
  <si>
    <t>시가그룹수익률(6M)</t>
  </si>
  <si>
    <t>시가그룹수익률(9M)</t>
  </si>
  <si>
    <t>시가그룹수익률(1Y)</t>
  </si>
  <si>
    <t>시가그룹수익률(1Y6M)</t>
  </si>
  <si>
    <t>시가그룹수익률(2Y)</t>
  </si>
  <si>
    <t>시가그룹수익률(2Y6M)</t>
  </si>
  <si>
    <t>시가그룹수익률(3Y)</t>
  </si>
  <si>
    <t>시가그룹수익률(4Y)</t>
  </si>
  <si>
    <t>시가그룹수익률(5Y)</t>
  </si>
  <si>
    <t>시가그룹수익률(7Y)</t>
  </si>
  <si>
    <t>시가그룹수익률(10Y)</t>
  </si>
  <si>
    <t>시가그룹수익률(15Y)</t>
  </si>
  <si>
    <t>시가그룹수익률(20Y)</t>
  </si>
  <si>
    <t>국고채</t>
  </si>
  <si>
    <t>국민주택1종</t>
  </si>
  <si>
    <t>국민주택2종</t>
  </si>
  <si>
    <t>서울도시철도채</t>
  </si>
  <si>
    <t>지역개발채</t>
  </si>
  <si>
    <t>MBS</t>
  </si>
  <si>
    <t>정부보증채</t>
  </si>
  <si>
    <t>특수채AAA</t>
  </si>
  <si>
    <t>특수채AA+</t>
  </si>
  <si>
    <t>특수채AA0</t>
  </si>
  <si>
    <t>특수채AA-</t>
  </si>
  <si>
    <t>통안채</t>
  </si>
  <si>
    <t>산금채</t>
  </si>
  <si>
    <t>중금채</t>
  </si>
  <si>
    <t>은행채AAA</t>
  </si>
  <si>
    <t>은행채AA+</t>
  </si>
  <si>
    <t>은행채AA0</t>
  </si>
  <si>
    <t>은행채AA-</t>
  </si>
  <si>
    <t>은행채A+</t>
  </si>
  <si>
    <t>은행채A0</t>
  </si>
  <si>
    <t>은행채A-</t>
  </si>
  <si>
    <t>비은행금융채AA+</t>
  </si>
  <si>
    <t>비은행금융채AA0</t>
  </si>
  <si>
    <t>비은행금융채AA-</t>
  </si>
  <si>
    <t>비은행금융채A+</t>
  </si>
  <si>
    <t>비은행금융채A0</t>
  </si>
  <si>
    <t>비은행금융채A-</t>
  </si>
  <si>
    <t>비은행금융채BBB+</t>
  </si>
  <si>
    <t>비은행금융채BBB0</t>
  </si>
  <si>
    <t>비은행금융채BBB-</t>
  </si>
  <si>
    <t>카드채AA+</t>
  </si>
  <si>
    <t>카드채AA0</t>
  </si>
  <si>
    <t>카드채AA-</t>
  </si>
  <si>
    <t>카드채A+</t>
  </si>
  <si>
    <t>카드채A0</t>
  </si>
  <si>
    <t>카드채A-</t>
  </si>
  <si>
    <t>카드채BBB+</t>
  </si>
  <si>
    <t>카드채BBB0</t>
  </si>
  <si>
    <t>카드채BBB-</t>
  </si>
  <si>
    <t>보증사채AAA</t>
  </si>
  <si>
    <t>보증사채AA+</t>
  </si>
  <si>
    <t>보증사채AA0</t>
  </si>
  <si>
    <t>보증사채AA-</t>
  </si>
  <si>
    <t>보증사채A+</t>
  </si>
  <si>
    <t>보증사채A0</t>
  </si>
  <si>
    <t>보증사채A-</t>
  </si>
  <si>
    <t>특수은보회사채</t>
  </si>
  <si>
    <t>시중은보회사채</t>
  </si>
  <si>
    <t>지방은보회사채</t>
  </si>
  <si>
    <t>기타보증회사채</t>
  </si>
  <si>
    <t>무보증사채AAA</t>
  </si>
  <si>
    <t>무보증사채AA+</t>
  </si>
  <si>
    <t>무보증사채AA0</t>
  </si>
  <si>
    <t>무보증사채AA-</t>
  </si>
  <si>
    <t>무보증사채A+</t>
  </si>
  <si>
    <t>무보증사채A0</t>
  </si>
  <si>
    <t>무보증사채A-</t>
  </si>
  <si>
    <t>무보증사채BBB+</t>
  </si>
  <si>
    <t>무보증사채BBB0</t>
  </si>
  <si>
    <t>무보증사채BBB-</t>
  </si>
  <si>
    <t>무보증사채BB+</t>
  </si>
  <si>
    <t>무보증사채BB0</t>
  </si>
  <si>
    <t>무보증사채BB-</t>
  </si>
  <si>
    <t>사모사채AAA</t>
  </si>
  <si>
    <t>사모사채AA+</t>
  </si>
  <si>
    <t>사모사채AA0</t>
  </si>
  <si>
    <t>사모사채AA-</t>
  </si>
  <si>
    <t>사모사채A+</t>
  </si>
  <si>
    <t>사모사채A0</t>
  </si>
  <si>
    <t>사모사채A-</t>
  </si>
  <si>
    <t>사모사채BBB+</t>
  </si>
  <si>
    <t>사모사채BBB0</t>
  </si>
  <si>
    <t>사모사채BBB-</t>
  </si>
  <si>
    <t>BNK금융지주</t>
  </si>
  <si>
    <t>DGB금융지주</t>
  </si>
  <si>
    <t>JB 우리캐피탈</t>
  </si>
  <si>
    <t>JB금융지주</t>
  </si>
  <si>
    <t>KB증권</t>
  </si>
  <si>
    <t>KB캐피탈</t>
  </si>
  <si>
    <t>경남은행</t>
  </si>
  <si>
    <t>메리츠금융지주</t>
  </si>
  <si>
    <t>미래에셋대우</t>
  </si>
  <si>
    <t>비엔케이캐피탈</t>
  </si>
  <si>
    <t>신한카드</t>
  </si>
  <si>
    <t>아이비케이캐피탈</t>
  </si>
  <si>
    <t>엔에이치농협캐피탈</t>
  </si>
  <si>
    <t>우리카드</t>
  </si>
  <si>
    <t>케이비카드</t>
  </si>
  <si>
    <t>하나카드</t>
  </si>
  <si>
    <t>하나캐피탈</t>
  </si>
  <si>
    <t>한국주택금융공사</t>
  </si>
  <si>
    <t>현대카드</t>
  </si>
  <si>
    <t>채권명</t>
    <phoneticPr fontId="1" type="noConversion"/>
  </si>
  <si>
    <t>채권코드</t>
    <phoneticPr fontId="1" type="noConversion"/>
  </si>
  <si>
    <t>발행일</t>
    <phoneticPr fontId="1" type="noConversion"/>
  </si>
  <si>
    <t>만기일</t>
    <phoneticPr fontId="1" type="noConversion"/>
  </si>
  <si>
    <t>표면금리</t>
    <phoneticPr fontId="1" type="noConversion"/>
  </si>
  <si>
    <t>연지급횟수</t>
    <phoneticPr fontId="1" type="noConversion"/>
  </si>
  <si>
    <t>Forward</t>
    <phoneticPr fontId="1" type="noConversion"/>
  </si>
  <si>
    <t>커브명</t>
    <phoneticPr fontId="1" type="noConversion"/>
  </si>
  <si>
    <t>KR103501G992</t>
    <phoneticPr fontId="1" type="noConversion"/>
  </si>
  <si>
    <t>국고채권01375-2409(19-5)</t>
    <phoneticPr fontId="1" type="noConversion"/>
  </si>
  <si>
    <t>국고채</t>
    <phoneticPr fontId="1" type="noConversion"/>
  </si>
  <si>
    <t>Delta</t>
    <phoneticPr fontId="1" type="noConversion"/>
  </si>
  <si>
    <t>Market Curve</t>
    <phoneticPr fontId="1" type="noConversion"/>
  </si>
  <si>
    <t>평가일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</si>
</sst>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%"/>
    <numFmt numFmtId="177" formatCode="0.00000%"/>
  </numFmts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3" fillId="0" borderId="0" xfId="0" applyFont="1">
      <alignment vertical="center"/>
    </xf>
    <xf numFmtId="176" fontId="0" fillId="0" borderId="0" xfId="1" applyNumberFormat="1" applyFont="1">
      <alignment vertical="center"/>
    </xf>
    <xf numFmtId="177" fontId="0" fillId="0" borderId="0" xfId="1" applyNumberFormat="1" applyFont="1">
      <alignment vertical="center"/>
    </xf>
    <xf numFmtId="0" fontId="0" fillId="0" borderId="0" xfId="0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3.xml" Id="rId3" /><Relationship Type="http://schemas.openxmlformats.org/officeDocument/2006/relationships/calcChain" Target="calcChain.xml" Id="rId7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sharedStrings" Target="sharedStrings.xml" Id="rId6" /><Relationship Type="http://schemas.openxmlformats.org/officeDocument/2006/relationships/styles" Target="styles.xml" Id="rId5" /><Relationship Type="http://schemas.openxmlformats.org/officeDocument/2006/relationships/theme" Target="theme/theme1.xml" Id="rId4" /><Relationship Type="http://schemas.openxmlformats.org/officeDocument/2006/relationships/customXml" Target="../vstoDataStore/item1.xml" Id="R44dddaeb8c97466f" 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342F6-9866-419A-A146-9D2FBACE58A5}">
  <sheetPr codeName="Sheet2"/>
  <dimension ref="A1:B1"/>
  <sheetViews>
    <sheetView workbookViewId="0">
      <selection activeCell="C21" sqref="C21"/>
    </sheetView>
  </sheetViews>
  <sheetFormatPr defaultRowHeight="16.5"/>
  <cols>
    <col min="2" max="2" width="11.125" bestFit="1" customWidth="1"/>
  </cols>
  <sheetData>
    <row r="1" spans="1:2">
      <c r="A1" t="s">
        <v>121</v>
      </c>
      <c r="B1" s="1">
        <v>43740</v>
      </c>
    </row>
  </sheetData>
  <dataConsolidate/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6D812-6ED5-4A56-8B05-491B7B403029}">
  <sheetPr codeName="Sheet3"/>
  <dimension ref="A1:AJ3"/>
  <sheetViews>
    <sheetView tabSelected="1" topLeftCell="V1" workbookViewId="0">
      <selection activeCell="AD4" sqref="AD4"/>
    </sheetView>
  </sheetViews>
  <sheetFormatPr defaultRowHeight="16.5"/>
  <cols>
    <col min="3" max="4" width="11.125" bestFit="1" customWidth="1"/>
    <col min="23" max="23" width="9.5" bestFit="1" customWidth="1"/>
    <col min="24" max="24" width="13.25" bestFit="1" customWidth="1"/>
    <col min="25" max="25" width="9.5" bestFit="1" customWidth="1"/>
    <col min="26" max="32" width="13.25" bestFit="1" customWidth="1"/>
    <col min="33" max="36" width="9.5" bestFit="1" customWidth="1"/>
  </cols>
  <sheetData>
    <row r="1" spans="1:36">
      <c r="I1" s="5" t="s">
        <v>120</v>
      </c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 t="s">
        <v>119</v>
      </c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</row>
    <row r="2" spans="1:36">
      <c r="A2" t="s">
        <v>109</v>
      </c>
      <c r="B2" t="s">
        <v>108</v>
      </c>
      <c r="C2" t="s">
        <v>110</v>
      </c>
      <c r="D2" t="s">
        <v>111</v>
      </c>
      <c r="E2" t="s">
        <v>112</v>
      </c>
      <c r="F2" t="s">
        <v>113</v>
      </c>
      <c r="G2" t="s">
        <v>114</v>
      </c>
      <c r="H2" t="s">
        <v>115</v>
      </c>
      <c r="I2">
        <v>0.25</v>
      </c>
      <c r="J2">
        <v>0.5</v>
      </c>
      <c r="K2">
        <v>0.75</v>
      </c>
      <c r="L2">
        <v>1</v>
      </c>
      <c r="M2">
        <v>1.5</v>
      </c>
      <c r="N2">
        <v>2</v>
      </c>
      <c r="O2">
        <v>2.5</v>
      </c>
      <c r="P2">
        <v>3</v>
      </c>
      <c r="Q2">
        <v>4</v>
      </c>
      <c r="R2">
        <v>5</v>
      </c>
      <c r="S2">
        <v>7</v>
      </c>
      <c r="T2">
        <v>10</v>
      </c>
      <c r="U2">
        <v>15</v>
      </c>
      <c r="V2">
        <v>20</v>
      </c>
      <c r="W2">
        <v>0.25</v>
      </c>
      <c r="X2">
        <v>0.5</v>
      </c>
      <c r="Y2">
        <v>0.75</v>
      </c>
      <c r="Z2">
        <v>1</v>
      </c>
      <c r="AA2">
        <v>1.5</v>
      </c>
      <c r="AB2">
        <v>2</v>
      </c>
      <c r="AC2">
        <v>2.5</v>
      </c>
      <c r="AD2">
        <v>3</v>
      </c>
      <c r="AE2">
        <v>4</v>
      </c>
      <c r="AF2">
        <v>5</v>
      </c>
      <c r="AG2">
        <v>7</v>
      </c>
      <c r="AH2">
        <v>10</v>
      </c>
      <c r="AI2">
        <v>15</v>
      </c>
      <c r="AJ2">
        <v>20</v>
      </c>
    </row>
    <row r="3" spans="1:36">
      <c r="A3" t="s">
        <v>116</v>
      </c>
      <c r="B3" t="s">
        <v>117</v>
      </c>
      <c r="C3" s="1">
        <v>43718</v>
      </c>
      <c r="D3" s="1">
        <v>45545</v>
      </c>
      <c r="E3" s="3">
        <v>1.375E-2</v>
      </c>
      <c r="F3">
        <v>2</v>
      </c>
      <c r="G3" t="b">
        <f>TRUE</f>
        <v>1</v>
      </c>
      <c r="H3" t="s">
        <v>118</v>
      </c>
      <c r="I3" s="3">
        <f>INDEX(국내커브!$C:$P, MATCH(Delta!$H3,국내커브!$B:$B,0),MATCH(Delta!I$2,Delta!$I$2:$V$2,0)) / 100</f>
        <v>1.234E-2</v>
      </c>
      <c r="J3" s="3">
        <f>INDEX(국내커브!$C:$P, MATCH(Delta!$H3,국내커브!$B:$B,0),MATCH(Delta!J$2,Delta!$I$2:$V$2,0)) / 100</f>
        <v>1.2460000000000001E-2</v>
      </c>
      <c r="K3" s="3">
        <f>INDEX(국내커브!$C:$P, MATCH(Delta!$H3,국내커브!$B:$B,0),MATCH(Delta!K$2,Delta!$I$2:$V$2,0)) / 100</f>
        <v>1.2509999999999999E-2</v>
      </c>
      <c r="L3" s="3">
        <f>INDEX(국내커브!$C:$P, MATCH(Delta!$H3,국내커브!$B:$B,0),MATCH(Delta!L$2,Delta!$I$2:$V$2,0)) / 100</f>
        <v>1.2809999999999998E-2</v>
      </c>
      <c r="M3" s="3">
        <f>INDEX(국내커브!$C:$P, MATCH(Delta!$H3,국내커브!$B:$B,0),MATCH(Delta!M$2,Delta!$I$2:$V$2,0)) / 100</f>
        <v>1.312E-2</v>
      </c>
      <c r="N3" s="3">
        <f>INDEX(국내커브!$C:$P, MATCH(Delta!$H3,국내커브!$B:$B,0),MATCH(Delta!N$2,Delta!$I$2:$V$2,0)) / 100</f>
        <v>1.3220000000000001E-2</v>
      </c>
      <c r="O3" s="3">
        <f>INDEX(국내커브!$C:$P, MATCH(Delta!$H3,국내커브!$B:$B,0),MATCH(Delta!O$2,Delta!$I$2:$V$2,0)) / 100</f>
        <v>1.315E-2</v>
      </c>
      <c r="P3" s="3">
        <f>INDEX(국내커브!$C:$P, MATCH(Delta!$H3,국내커브!$B:$B,0),MATCH(Delta!P$2,Delta!$I$2:$V$2,0)) / 100</f>
        <v>1.2969999999999999E-2</v>
      </c>
      <c r="Q3" s="3">
        <f>INDEX(국내커브!$C:$P, MATCH(Delta!$H3,국내커브!$B:$B,0),MATCH(Delta!Q$2,Delta!$I$2:$V$2,0)) / 100</f>
        <v>1.38E-2</v>
      </c>
      <c r="R3" s="3">
        <f>INDEX(국내커브!$C:$P, MATCH(Delta!$H3,국내커브!$B:$B,0),MATCH(Delta!R$2,Delta!$I$2:$V$2,0)) / 100</f>
        <v>1.3650000000000001E-2</v>
      </c>
      <c r="S3" s="3">
        <f>INDEX(국내커브!$C:$P, MATCH(Delta!$H3,국내커브!$B:$B,0),MATCH(Delta!S$2,Delta!$I$2:$V$2,0)) / 100</f>
        <v>1.4610000000000001E-2</v>
      </c>
      <c r="T3" s="3">
        <f>INDEX(국내커브!$C:$P, MATCH(Delta!$H3,국내커브!$B:$B,0),MATCH(Delta!T$2,Delta!$I$2:$V$2,0)) / 100</f>
        <v>1.4970000000000001E-2</v>
      </c>
      <c r="U3" s="3">
        <f>INDEX(국내커브!$C:$P, MATCH(Delta!$H3,국내커브!$B:$B,0),MATCH(Delta!U$2,Delta!$I$2:$V$2,0)) / 100</f>
        <v>1.49E-2</v>
      </c>
      <c r="V3" s="3">
        <f>INDEX(국내커브!$C:$P, MATCH(Delta!$H3,국내커브!$B:$B,0),MATCH(Delta!V$2,Delta!$I$2:$V$2,0)) / 100</f>
        <v>1.4750000000000001E-2</v>
      </c>
      <c r="W3" s="4">
        <f>_xll.BondDelta(T,W$2,$C3,$D3,$E3,$F3,$G3,$I3,$J3,$K3,$L3,$M3,$N3,$O3,$P3,$Q3,$R3,$S3,$T3,$U3,$V3)</f>
        <v>0</v>
      </c>
      <c r="X3" s="4">
        <f>_xll.BondDelta(T,X$2,$C3,$D3,$E3,$F3,$G3,$I3,$J3,$K3,$L3,$M3,$N3,$O3,$P3,$Q3,$R3,$S3,$T3,$U3,$V3)</f>
        <v>3.1676227785215616E-7</v>
      </c>
      <c r="Y3" s="4">
        <f>_xll.BondDelta(T,Y$2,$C3,$D3,$E3,$F3,$G3,$I3,$J3,$K3,$L3,$M3,$N3,$O3,$P3,$Q3,$R3,$S3,$T3,$U3,$V3)</f>
        <v>0</v>
      </c>
      <c r="Z3" s="4">
        <f>_xll.BondDelta(T,Z$2,$C3,$D3,$E3,$F3,$G3,$I3,$J3,$K3,$L3,$M3,$N3,$O3,$P3,$Q3,$R3,$S3,$T3,$U3,$V3)</f>
        <v>6.5180905742256989E-7</v>
      </c>
      <c r="AA3" s="4">
        <f>_xll.BondDelta(T,AA$2,$C3,$D3,$E3,$F3,$G3,$I3,$J3,$K3,$L3,$M3,$N3,$O3,$P3,$Q3,$R3,$S3,$T3,$U3,$V3)</f>
        <v>9.5131244405577409E-7</v>
      </c>
      <c r="AB3" s="4">
        <f>_xll.BondDelta(T,AB$2,$C3,$D3,$E3,$F3,$G3,$I3,$J3,$K3,$L3,$M3,$N3,$O3,$P3,$Q3,$R3,$S3,$T3,$U3,$V3)</f>
        <v>1.31157974225804E-6</v>
      </c>
      <c r="AC3" s="4">
        <f>_xll.BondDelta(T,AC$2,$C3,$D3,$E3,$F3,$G3,$I3,$J3,$K3,$L3,$M3,$N3,$O3,$P3,$Q3,$R3,$S3,$T3,$U3,$V3)</f>
        <v>1.5961740739145469E-6</v>
      </c>
      <c r="AD3" s="4">
        <f>_xll.BondDelta(T,AD$2,$C3,$D3,$E3,$F3,$G3,$I3,$J3,$K3,$L3,$M3,$N3,$O3,$P3,$Q3,$R3,$S3,$T3,$U3,$V3)</f>
        <v>3.1042105564371703E-6</v>
      </c>
      <c r="AE3" s="4">
        <f>_xll.BondDelta(T,AE$2,$C3,$D3,$E3,$F3,$G3,$I3,$J3,$K3,$L3,$M3,$N3,$O3,$P3,$Q3,$R3,$S3,$T3,$U3,$V3)</f>
        <v>5.2313656442593004E-6</v>
      </c>
      <c r="AF3" s="4">
        <f>_xll.BondDelta(T,AF$2,$C3,$D3,$E3,$F3,$G3,$I3,$J3,$K3,$L3,$M3,$N3,$O3,$P3,$Q3,$R3,$S3,$T3,$U3,$V3)</f>
        <v>4.4199075381196051E-6</v>
      </c>
      <c r="AG3" s="4">
        <f>_xll.BondDelta(T,AG$2,$C3,$D3,$E3,$F3,$G3,$I3,$J3,$K3,$L3,$M3,$N3,$O3,$P3,$Q3,$R3,$S3,$T3,$U3,$V3)</f>
        <v>0</v>
      </c>
      <c r="AH3" s="4">
        <f>_xll.BondDelta(T,AH$2,$C3,$D3,$E3,$F3,$G3,$I3,$J3,$K3,$L3,$M3,$N3,$O3,$P3,$Q3,$R3,$S3,$T3,$U3,$V3)</f>
        <v>0</v>
      </c>
      <c r="AI3" s="4">
        <f>_xll.BondDelta(T,AI$2,$C3,$D3,$E3,$F3,$G3,$I3,$J3,$K3,$L3,$M3,$N3,$O3,$P3,$Q3,$R3,$S3,$T3,$U3,$V3)</f>
        <v>0</v>
      </c>
      <c r="AJ3" s="4">
        <f>_xll.BondDelta(T,AJ$2,$C3,$D3,$E3,$F3,$G3,$I3,$J3,$K3,$L3,$M3,$N3,$O3,$P3,$Q3,$R3,$S3,$T3,$U3,$V3)</f>
        <v>0</v>
      </c>
    </row>
  </sheetData>
  <dataConsolidate/>
  <mergeCells count="2">
    <mergeCell ref="I1:V1"/>
    <mergeCell ref="W1:AJ1"/>
  </mergeCells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0C0E5-A2F3-426E-B5EC-82EF70D48B73}">
  <sheetPr codeName="Sheet1"/>
  <dimension ref="A1:P93"/>
  <sheetViews>
    <sheetView workbookViewId="0">
      <selection activeCell="B2" sqref="B2"/>
    </sheetView>
  </sheetViews>
  <sheetFormatPr defaultRowHeight="16.5"/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>
      <c r="A2">
        <v>71010000</v>
      </c>
      <c r="B2" t="s">
        <v>16</v>
      </c>
      <c r="C2">
        <v>1.234</v>
      </c>
      <c r="D2">
        <v>1.246</v>
      </c>
      <c r="E2">
        <v>1.2509999999999999</v>
      </c>
      <c r="F2">
        <v>1.2809999999999999</v>
      </c>
      <c r="G2">
        <v>1.3120000000000001</v>
      </c>
      <c r="H2">
        <v>1.3220000000000001</v>
      </c>
      <c r="I2">
        <v>1.3149999999999999</v>
      </c>
      <c r="J2">
        <v>1.2969999999999999</v>
      </c>
      <c r="K2">
        <v>1.38</v>
      </c>
      <c r="L2">
        <v>1.365</v>
      </c>
      <c r="M2">
        <v>1.4610000000000001</v>
      </c>
      <c r="N2">
        <v>1.4970000000000001</v>
      </c>
      <c r="O2">
        <v>1.49</v>
      </c>
      <c r="P2">
        <v>1.4750000000000001</v>
      </c>
    </row>
    <row r="3" spans="1:16">
      <c r="A3">
        <v>71020000</v>
      </c>
      <c r="B3" t="s">
        <v>17</v>
      </c>
      <c r="C3">
        <v>1.2869999999999999</v>
      </c>
      <c r="D3">
        <v>1.3169999999999999</v>
      </c>
      <c r="E3">
        <v>1.3380000000000001</v>
      </c>
      <c r="F3">
        <v>1.3480000000000001</v>
      </c>
      <c r="G3">
        <v>1.3540000000000001</v>
      </c>
      <c r="H3">
        <v>1.369</v>
      </c>
      <c r="I3">
        <v>1.377</v>
      </c>
      <c r="J3">
        <v>1.3979999999999999</v>
      </c>
      <c r="K3">
        <v>1.4339999999999999</v>
      </c>
      <c r="L3">
        <v>1.5009999999999999</v>
      </c>
      <c r="M3">
        <v>0</v>
      </c>
      <c r="N3">
        <v>0</v>
      </c>
      <c r="O3">
        <v>0</v>
      </c>
      <c r="P3">
        <v>0</v>
      </c>
    </row>
    <row r="4" spans="1:16">
      <c r="A4">
        <v>71030000</v>
      </c>
      <c r="B4" t="s">
        <v>18</v>
      </c>
      <c r="C4">
        <v>1.0289999999999999</v>
      </c>
      <c r="D4">
        <v>1.0589999999999999</v>
      </c>
      <c r="E4">
        <v>1.08</v>
      </c>
      <c r="F4">
        <v>1.091</v>
      </c>
      <c r="G4">
        <v>1.097</v>
      </c>
      <c r="H4">
        <v>1.113</v>
      </c>
      <c r="I4">
        <v>1.125</v>
      </c>
      <c r="J4">
        <v>1.175</v>
      </c>
      <c r="K4">
        <v>1.2250000000000001</v>
      </c>
      <c r="L4">
        <v>1.2929999999999999</v>
      </c>
      <c r="M4">
        <v>1.3959999999999999</v>
      </c>
      <c r="N4">
        <v>1.5329999999999999</v>
      </c>
      <c r="O4">
        <v>1.6120000000000001</v>
      </c>
      <c r="P4">
        <v>1.6879999999999999</v>
      </c>
    </row>
    <row r="5" spans="1:16">
      <c r="A5">
        <v>72100000</v>
      </c>
      <c r="B5" t="s">
        <v>19</v>
      </c>
      <c r="C5">
        <v>1.325</v>
      </c>
      <c r="D5">
        <v>1.355</v>
      </c>
      <c r="E5">
        <v>1.375</v>
      </c>
      <c r="F5">
        <v>1.3859999999999999</v>
      </c>
      <c r="G5">
        <v>1.3919999999999999</v>
      </c>
      <c r="H5">
        <v>1.41</v>
      </c>
      <c r="I5">
        <v>1.419</v>
      </c>
      <c r="J5">
        <v>1.4410000000000001</v>
      </c>
      <c r="K5">
        <v>1.4810000000000001</v>
      </c>
      <c r="L5">
        <v>1.55</v>
      </c>
      <c r="M5">
        <v>1.5760000000000001</v>
      </c>
      <c r="N5">
        <v>0</v>
      </c>
      <c r="O5">
        <v>0</v>
      </c>
      <c r="P5">
        <v>0</v>
      </c>
    </row>
    <row r="6" spans="1:16">
      <c r="A6">
        <v>72200000</v>
      </c>
      <c r="B6" t="s">
        <v>20</v>
      </c>
      <c r="C6">
        <v>1.325</v>
      </c>
      <c r="D6">
        <v>1.355</v>
      </c>
      <c r="E6">
        <v>1.375</v>
      </c>
      <c r="F6">
        <v>1.3859999999999999</v>
      </c>
      <c r="G6">
        <v>1.3919999999999999</v>
      </c>
      <c r="H6">
        <v>1.41</v>
      </c>
      <c r="I6">
        <v>1.419</v>
      </c>
      <c r="J6">
        <v>1.4410000000000001</v>
      </c>
      <c r="K6">
        <v>1.4810000000000001</v>
      </c>
      <c r="L6">
        <v>1.55</v>
      </c>
      <c r="M6">
        <v>1.5760000000000001</v>
      </c>
      <c r="N6">
        <v>1.72</v>
      </c>
      <c r="O6">
        <v>1.865</v>
      </c>
      <c r="P6">
        <v>1.927</v>
      </c>
    </row>
    <row r="7" spans="1:16">
      <c r="A7">
        <v>73040000</v>
      </c>
      <c r="B7" t="s">
        <v>21</v>
      </c>
      <c r="C7">
        <v>1.4330000000000001</v>
      </c>
      <c r="D7">
        <v>1.4530000000000001</v>
      </c>
      <c r="E7">
        <v>1.4630000000000001</v>
      </c>
      <c r="F7">
        <v>1.4630000000000001</v>
      </c>
      <c r="G7">
        <v>1.4610000000000001</v>
      </c>
      <c r="H7">
        <v>1.474</v>
      </c>
      <c r="I7">
        <v>1.4670000000000001</v>
      </c>
      <c r="J7">
        <v>1.4790000000000001</v>
      </c>
      <c r="K7">
        <v>1.5049999999999999</v>
      </c>
      <c r="L7">
        <v>1.524</v>
      </c>
      <c r="M7">
        <v>1.5580000000000001</v>
      </c>
      <c r="N7">
        <v>1.599</v>
      </c>
      <c r="O7">
        <v>1.5820000000000001</v>
      </c>
      <c r="P7">
        <v>1.5669999999999999</v>
      </c>
    </row>
    <row r="8" spans="1:16">
      <c r="A8">
        <v>73070000</v>
      </c>
      <c r="B8" t="s">
        <v>22</v>
      </c>
      <c r="C8">
        <v>1.393</v>
      </c>
      <c r="D8">
        <v>1.41</v>
      </c>
      <c r="E8">
        <v>1.42</v>
      </c>
      <c r="F8">
        <v>1.419</v>
      </c>
      <c r="G8">
        <v>1.417</v>
      </c>
      <c r="H8">
        <v>1.4330000000000001</v>
      </c>
      <c r="I8">
        <v>1.427</v>
      </c>
      <c r="J8">
        <v>1.4419999999999999</v>
      </c>
      <c r="K8">
        <v>1.476</v>
      </c>
      <c r="L8">
        <v>1.4990000000000001</v>
      </c>
      <c r="M8">
        <v>1.528</v>
      </c>
      <c r="N8">
        <v>1.569</v>
      </c>
      <c r="O8">
        <v>1.552</v>
      </c>
      <c r="P8">
        <v>1.536</v>
      </c>
    </row>
    <row r="9" spans="1:16">
      <c r="A9">
        <v>73090110</v>
      </c>
      <c r="B9" t="s">
        <v>23</v>
      </c>
      <c r="C9">
        <v>1.4319999999999999</v>
      </c>
      <c r="D9">
        <v>1.4490000000000001</v>
      </c>
      <c r="E9">
        <v>1.458</v>
      </c>
      <c r="F9">
        <v>1.4590000000000001</v>
      </c>
      <c r="G9">
        <v>1.4550000000000001</v>
      </c>
      <c r="H9">
        <v>1.4710000000000001</v>
      </c>
      <c r="I9">
        <v>1.462</v>
      </c>
      <c r="J9">
        <v>1.474</v>
      </c>
      <c r="K9">
        <v>1.504</v>
      </c>
      <c r="L9">
        <v>1.5209999999999999</v>
      </c>
      <c r="M9">
        <v>1.5549999999999999</v>
      </c>
      <c r="N9">
        <v>1.597</v>
      </c>
      <c r="O9">
        <v>1.579</v>
      </c>
      <c r="P9">
        <v>1.5620000000000001</v>
      </c>
    </row>
    <row r="10" spans="1:16">
      <c r="A10">
        <v>73090121</v>
      </c>
      <c r="B10" t="s">
        <v>24</v>
      </c>
      <c r="C10">
        <v>1.46</v>
      </c>
      <c r="D10">
        <v>1.4910000000000001</v>
      </c>
      <c r="E10">
        <v>1.5009999999999999</v>
      </c>
      <c r="F10">
        <v>1.506</v>
      </c>
      <c r="G10">
        <v>1.506</v>
      </c>
      <c r="H10">
        <v>1.5209999999999999</v>
      </c>
      <c r="I10">
        <v>1.514</v>
      </c>
      <c r="J10">
        <v>1.528</v>
      </c>
      <c r="K10">
        <v>1.5640000000000001</v>
      </c>
      <c r="L10">
        <v>1.615</v>
      </c>
      <c r="M10">
        <v>1.6919999999999999</v>
      </c>
      <c r="N10">
        <v>1.792</v>
      </c>
      <c r="O10">
        <v>1.7869999999999999</v>
      </c>
      <c r="P10">
        <v>1.78</v>
      </c>
    </row>
    <row r="11" spans="1:16">
      <c r="A11">
        <v>73090122</v>
      </c>
      <c r="B11" t="s">
        <v>25</v>
      </c>
      <c r="C11">
        <v>1.5189999999999999</v>
      </c>
      <c r="D11">
        <v>1.55</v>
      </c>
      <c r="E11">
        <v>1.5629999999999999</v>
      </c>
      <c r="F11">
        <v>1.571</v>
      </c>
      <c r="G11">
        <v>1.579</v>
      </c>
      <c r="H11">
        <v>1.5940000000000001</v>
      </c>
      <c r="I11">
        <v>1.59</v>
      </c>
      <c r="J11">
        <v>1.6060000000000001</v>
      </c>
      <c r="K11">
        <v>1.651</v>
      </c>
      <c r="L11">
        <v>1.7170000000000001</v>
      </c>
      <c r="M11">
        <v>1.798</v>
      </c>
      <c r="N11">
        <v>1.8979999999999999</v>
      </c>
      <c r="O11">
        <v>1.925</v>
      </c>
      <c r="P11">
        <v>1.929</v>
      </c>
    </row>
    <row r="12" spans="1:16">
      <c r="A12">
        <v>73090123</v>
      </c>
      <c r="B12" t="s">
        <v>26</v>
      </c>
      <c r="C12">
        <v>1.6040000000000001</v>
      </c>
      <c r="D12">
        <v>1.6379999999999999</v>
      </c>
      <c r="E12">
        <v>1.657</v>
      </c>
      <c r="F12">
        <v>1.669</v>
      </c>
      <c r="G12">
        <v>1.677</v>
      </c>
      <c r="H12">
        <v>1.6990000000000001</v>
      </c>
      <c r="I12">
        <v>1.7010000000000001</v>
      </c>
      <c r="J12">
        <v>1.722</v>
      </c>
      <c r="K12">
        <v>1.7649999999999999</v>
      </c>
      <c r="L12">
        <v>1.839</v>
      </c>
      <c r="M12">
        <v>1.913</v>
      </c>
      <c r="N12">
        <v>2.0089999999999999</v>
      </c>
      <c r="O12">
        <v>2.0409999999999999</v>
      </c>
      <c r="P12">
        <v>2.0489999999999999</v>
      </c>
    </row>
    <row r="13" spans="1:16">
      <c r="A13">
        <v>74000000</v>
      </c>
      <c r="B13" t="s">
        <v>27</v>
      </c>
      <c r="C13">
        <v>1.31</v>
      </c>
      <c r="D13">
        <v>1.3089999999999999</v>
      </c>
      <c r="E13">
        <v>1.3169999999999999</v>
      </c>
      <c r="F13">
        <v>1.3149999999999999</v>
      </c>
      <c r="G13">
        <v>1.3180000000000001</v>
      </c>
      <c r="H13">
        <v>1.3049999999999999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</row>
    <row r="14" spans="1:16">
      <c r="A14">
        <v>75110000</v>
      </c>
      <c r="B14" t="s">
        <v>28</v>
      </c>
      <c r="C14">
        <v>1.4890000000000001</v>
      </c>
      <c r="D14">
        <v>1.474</v>
      </c>
      <c r="E14">
        <v>1.464</v>
      </c>
      <c r="F14">
        <v>1.4379999999999999</v>
      </c>
      <c r="G14">
        <v>1.431</v>
      </c>
      <c r="H14">
        <v>1.448</v>
      </c>
      <c r="I14">
        <v>1.446</v>
      </c>
      <c r="J14">
        <v>1.4550000000000001</v>
      </c>
      <c r="K14">
        <v>1.484</v>
      </c>
      <c r="L14">
        <v>1.5249999999999999</v>
      </c>
      <c r="M14">
        <v>1.5780000000000001</v>
      </c>
      <c r="N14">
        <v>1.653</v>
      </c>
      <c r="O14">
        <v>1.66</v>
      </c>
      <c r="P14">
        <v>1.6839999999999999</v>
      </c>
    </row>
    <row r="15" spans="1:16">
      <c r="A15">
        <v>75120000</v>
      </c>
      <c r="B15" t="s">
        <v>29</v>
      </c>
      <c r="C15">
        <v>1.4890000000000001</v>
      </c>
      <c r="D15">
        <v>1.474</v>
      </c>
      <c r="E15">
        <v>1.464</v>
      </c>
      <c r="F15">
        <v>1.4379999999999999</v>
      </c>
      <c r="G15">
        <v>1.431</v>
      </c>
      <c r="H15">
        <v>1.448</v>
      </c>
      <c r="I15">
        <v>1.4510000000000001</v>
      </c>
      <c r="J15">
        <v>1.462</v>
      </c>
      <c r="K15">
        <v>1.5009999999999999</v>
      </c>
      <c r="L15">
        <v>1.54</v>
      </c>
      <c r="M15">
        <v>1.6040000000000001</v>
      </c>
      <c r="N15">
        <v>1.6890000000000001</v>
      </c>
      <c r="O15">
        <v>1.6950000000000001</v>
      </c>
      <c r="P15">
        <v>1.722</v>
      </c>
    </row>
    <row r="16" spans="1:16">
      <c r="A16">
        <v>75190110</v>
      </c>
      <c r="B16" t="s">
        <v>30</v>
      </c>
      <c r="C16">
        <v>1.508</v>
      </c>
      <c r="D16">
        <v>1.4970000000000001</v>
      </c>
      <c r="E16">
        <v>1.4930000000000001</v>
      </c>
      <c r="F16">
        <v>1.4730000000000001</v>
      </c>
      <c r="G16">
        <v>1.4710000000000001</v>
      </c>
      <c r="H16">
        <v>1.4930000000000001</v>
      </c>
      <c r="I16">
        <v>1.4910000000000001</v>
      </c>
      <c r="J16">
        <v>1.504</v>
      </c>
      <c r="K16">
        <v>1.532</v>
      </c>
      <c r="L16">
        <v>1.556</v>
      </c>
      <c r="M16">
        <v>1.643</v>
      </c>
      <c r="N16">
        <v>1.748</v>
      </c>
      <c r="O16">
        <v>1.756</v>
      </c>
      <c r="P16">
        <v>1.7889999999999999</v>
      </c>
    </row>
    <row r="17" spans="1:16">
      <c r="A17">
        <v>75190121</v>
      </c>
      <c r="B17" t="s">
        <v>31</v>
      </c>
      <c r="C17">
        <v>1.5509999999999999</v>
      </c>
      <c r="D17">
        <v>1.546</v>
      </c>
      <c r="E17">
        <v>1.544</v>
      </c>
      <c r="F17">
        <v>1.5329999999999999</v>
      </c>
      <c r="G17">
        <v>1.5329999999999999</v>
      </c>
      <c r="H17">
        <v>1.5609999999999999</v>
      </c>
      <c r="I17">
        <v>1.5680000000000001</v>
      </c>
      <c r="J17">
        <v>1.581</v>
      </c>
      <c r="K17">
        <v>1.6060000000000001</v>
      </c>
      <c r="L17">
        <v>1.6220000000000001</v>
      </c>
      <c r="M17">
        <v>1.681</v>
      </c>
      <c r="N17">
        <v>1.794</v>
      </c>
      <c r="O17">
        <v>1.897</v>
      </c>
      <c r="P17">
        <v>1.9850000000000001</v>
      </c>
    </row>
    <row r="18" spans="1:16">
      <c r="A18">
        <v>75190122</v>
      </c>
      <c r="B18" t="s">
        <v>32</v>
      </c>
      <c r="C18">
        <v>1.6990000000000001</v>
      </c>
      <c r="D18">
        <v>1.702</v>
      </c>
      <c r="E18">
        <v>1.702</v>
      </c>
      <c r="F18">
        <v>1.708</v>
      </c>
      <c r="G18">
        <v>1.7230000000000001</v>
      </c>
      <c r="H18">
        <v>1.7729999999999999</v>
      </c>
      <c r="I18">
        <v>1.8069999999999999</v>
      </c>
      <c r="J18">
        <v>1.8320000000000001</v>
      </c>
      <c r="K18">
        <v>1.86</v>
      </c>
      <c r="L18">
        <v>1.9219999999999999</v>
      </c>
      <c r="M18">
        <v>2.0070000000000001</v>
      </c>
      <c r="N18">
        <v>2.129</v>
      </c>
      <c r="O18">
        <v>2.2389999999999999</v>
      </c>
      <c r="P18">
        <v>2.335</v>
      </c>
    </row>
    <row r="19" spans="1:16">
      <c r="A19">
        <v>75190123</v>
      </c>
      <c r="B19" t="s">
        <v>33</v>
      </c>
      <c r="C19">
        <v>1.863</v>
      </c>
      <c r="D19">
        <v>1.9350000000000001</v>
      </c>
      <c r="E19">
        <v>1.956</v>
      </c>
      <c r="F19">
        <v>1.9790000000000001</v>
      </c>
      <c r="G19">
        <v>1.9830000000000001</v>
      </c>
      <c r="H19">
        <v>2.0270000000000001</v>
      </c>
      <c r="I19">
        <v>2.0489999999999999</v>
      </c>
      <c r="J19">
        <v>2.0760000000000001</v>
      </c>
      <c r="K19">
        <v>2.1040000000000001</v>
      </c>
      <c r="L19">
        <v>2.1549999999999998</v>
      </c>
      <c r="M19">
        <v>2.2530000000000001</v>
      </c>
      <c r="N19">
        <v>2.4390000000000001</v>
      </c>
      <c r="O19">
        <v>2.476</v>
      </c>
      <c r="P19">
        <v>2.5590000000000002</v>
      </c>
    </row>
    <row r="20" spans="1:16">
      <c r="A20">
        <v>75190131</v>
      </c>
      <c r="B20" t="s">
        <v>34</v>
      </c>
      <c r="C20">
        <v>1.9530000000000001</v>
      </c>
      <c r="D20">
        <v>2.0190000000000001</v>
      </c>
      <c r="E20">
        <v>2.0390000000000001</v>
      </c>
      <c r="F20">
        <v>2.0659999999999998</v>
      </c>
      <c r="G20">
        <v>2.0870000000000002</v>
      </c>
      <c r="H20">
        <v>2.1379999999999999</v>
      </c>
      <c r="I20">
        <v>2.1629999999999998</v>
      </c>
      <c r="J20">
        <v>2.2010000000000001</v>
      </c>
      <c r="K20">
        <v>2.2349999999999999</v>
      </c>
      <c r="L20">
        <v>2.286</v>
      </c>
      <c r="M20">
        <v>2.4060000000000001</v>
      </c>
      <c r="N20">
        <v>2.617</v>
      </c>
      <c r="O20">
        <v>2.6880000000000002</v>
      </c>
      <c r="P20">
        <v>2.7709999999999999</v>
      </c>
    </row>
    <row r="21" spans="1:16">
      <c r="A21">
        <v>75190132</v>
      </c>
      <c r="B21" t="s">
        <v>35</v>
      </c>
      <c r="C21">
        <v>2.0430000000000001</v>
      </c>
      <c r="D21">
        <v>2.1019999999999999</v>
      </c>
      <c r="E21">
        <v>2.1150000000000002</v>
      </c>
      <c r="F21">
        <v>2.1589999999999998</v>
      </c>
      <c r="G21">
        <v>2.1869999999999998</v>
      </c>
      <c r="H21">
        <v>2.2389999999999999</v>
      </c>
      <c r="I21">
        <v>2.2639999999999998</v>
      </c>
      <c r="J21">
        <v>2.3069999999999999</v>
      </c>
      <c r="K21">
        <v>2.3420000000000001</v>
      </c>
      <c r="L21">
        <v>2.411</v>
      </c>
      <c r="M21">
        <v>2.532</v>
      </c>
      <c r="N21">
        <v>2.7589999999999999</v>
      </c>
      <c r="O21">
        <v>2.823</v>
      </c>
      <c r="P21">
        <v>2.911</v>
      </c>
    </row>
    <row r="22" spans="1:16">
      <c r="A22">
        <v>75190133</v>
      </c>
      <c r="B22" t="s">
        <v>36</v>
      </c>
      <c r="C22">
        <v>2.1230000000000002</v>
      </c>
      <c r="D22">
        <v>2.19</v>
      </c>
      <c r="E22">
        <v>2.206</v>
      </c>
      <c r="F22">
        <v>2.2410000000000001</v>
      </c>
      <c r="G22">
        <v>2.2749999999999999</v>
      </c>
      <c r="H22">
        <v>2.3290000000000002</v>
      </c>
      <c r="I22">
        <v>2.3519999999999999</v>
      </c>
      <c r="J22">
        <v>2.3919999999999999</v>
      </c>
      <c r="K22">
        <v>2.4390000000000001</v>
      </c>
      <c r="L22">
        <v>2.5099999999999998</v>
      </c>
      <c r="M22">
        <v>2.64</v>
      </c>
      <c r="N22">
        <v>2.8780000000000001</v>
      </c>
      <c r="O22">
        <v>2.9529999999999998</v>
      </c>
      <c r="P22">
        <v>3.056</v>
      </c>
    </row>
    <row r="23" spans="1:16">
      <c r="A23">
        <v>75290121</v>
      </c>
      <c r="B23" t="s">
        <v>37</v>
      </c>
      <c r="C23">
        <v>1.6080000000000001</v>
      </c>
      <c r="D23">
        <v>1.619</v>
      </c>
      <c r="E23">
        <v>1.617</v>
      </c>
      <c r="F23">
        <v>1.603</v>
      </c>
      <c r="G23">
        <v>1.593</v>
      </c>
      <c r="H23">
        <v>1.619</v>
      </c>
      <c r="I23">
        <v>1.6359999999999999</v>
      </c>
      <c r="J23">
        <v>1.651</v>
      </c>
      <c r="K23">
        <v>1.673</v>
      </c>
      <c r="L23">
        <v>1.712</v>
      </c>
      <c r="M23">
        <v>1.837</v>
      </c>
      <c r="N23">
        <v>2.1629999999999998</v>
      </c>
      <c r="O23">
        <v>2.4390000000000001</v>
      </c>
      <c r="P23">
        <v>2.52</v>
      </c>
    </row>
    <row r="24" spans="1:16">
      <c r="A24">
        <v>75290122</v>
      </c>
      <c r="B24" t="s">
        <v>38</v>
      </c>
      <c r="C24">
        <v>1.633</v>
      </c>
      <c r="D24">
        <v>1.6379999999999999</v>
      </c>
      <c r="E24">
        <v>1.635</v>
      </c>
      <c r="F24">
        <v>1.6180000000000001</v>
      </c>
      <c r="G24">
        <v>1.609</v>
      </c>
      <c r="H24">
        <v>1.6339999999999999</v>
      </c>
      <c r="I24">
        <v>1.6519999999999999</v>
      </c>
      <c r="J24">
        <v>1.673</v>
      </c>
      <c r="K24">
        <v>1.7090000000000001</v>
      </c>
      <c r="L24">
        <v>1.8560000000000001</v>
      </c>
      <c r="M24">
        <v>2.0409999999999999</v>
      </c>
      <c r="N24">
        <v>2.3969999999999998</v>
      </c>
      <c r="O24">
        <v>2.6880000000000002</v>
      </c>
      <c r="P24">
        <v>2.7789999999999999</v>
      </c>
    </row>
    <row r="25" spans="1:16">
      <c r="A25">
        <v>75290123</v>
      </c>
      <c r="B25" t="s">
        <v>39</v>
      </c>
      <c r="C25">
        <v>1.667</v>
      </c>
      <c r="D25">
        <v>1.675</v>
      </c>
      <c r="E25">
        <v>1.6739999999999999</v>
      </c>
      <c r="F25">
        <v>1.667</v>
      </c>
      <c r="G25">
        <v>1.68</v>
      </c>
      <c r="H25">
        <v>1.716</v>
      </c>
      <c r="I25">
        <v>1.736</v>
      </c>
      <c r="J25">
        <v>1.764</v>
      </c>
      <c r="K25">
        <v>1.819</v>
      </c>
      <c r="L25">
        <v>1.982</v>
      </c>
      <c r="M25">
        <v>2.2160000000000002</v>
      </c>
      <c r="N25">
        <v>2.64</v>
      </c>
      <c r="O25">
        <v>2.9049999999999998</v>
      </c>
      <c r="P25">
        <v>2.996</v>
      </c>
    </row>
    <row r="26" spans="1:16">
      <c r="A26">
        <v>75290131</v>
      </c>
      <c r="B26" t="s">
        <v>40</v>
      </c>
      <c r="C26">
        <v>1.728</v>
      </c>
      <c r="D26">
        <v>1.7470000000000001</v>
      </c>
      <c r="E26">
        <v>1.75</v>
      </c>
      <c r="F26">
        <v>1.762</v>
      </c>
      <c r="G26">
        <v>1.7749999999999999</v>
      </c>
      <c r="H26">
        <v>1.837</v>
      </c>
      <c r="I26">
        <v>1.883</v>
      </c>
      <c r="J26">
        <v>2.024</v>
      </c>
      <c r="K26">
        <v>2.1749999999999998</v>
      </c>
      <c r="L26">
        <v>2.3330000000000002</v>
      </c>
      <c r="M26">
        <v>2.71</v>
      </c>
      <c r="N26">
        <v>3.1040000000000001</v>
      </c>
      <c r="O26">
        <v>3.3450000000000002</v>
      </c>
      <c r="P26">
        <v>3.43</v>
      </c>
    </row>
    <row r="27" spans="1:16">
      <c r="A27">
        <v>75290132</v>
      </c>
      <c r="B27" t="s">
        <v>41</v>
      </c>
      <c r="C27">
        <v>1.9430000000000001</v>
      </c>
      <c r="D27">
        <v>1.9610000000000001</v>
      </c>
      <c r="E27">
        <v>1.966</v>
      </c>
      <c r="F27">
        <v>1.956</v>
      </c>
      <c r="G27">
        <v>1.964</v>
      </c>
      <c r="H27">
        <v>2.0920000000000001</v>
      </c>
      <c r="I27">
        <v>2.2519999999999998</v>
      </c>
      <c r="J27">
        <v>2.3660000000000001</v>
      </c>
      <c r="K27">
        <v>2.5830000000000002</v>
      </c>
      <c r="L27">
        <v>2.7639999999999998</v>
      </c>
      <c r="M27">
        <v>3.0539999999999998</v>
      </c>
      <c r="N27">
        <v>3.3839999999999999</v>
      </c>
      <c r="O27">
        <v>3.597</v>
      </c>
      <c r="P27">
        <v>3.68</v>
      </c>
    </row>
    <row r="28" spans="1:16">
      <c r="A28">
        <v>75290133</v>
      </c>
      <c r="B28" t="s">
        <v>42</v>
      </c>
      <c r="C28">
        <v>2.5590000000000002</v>
      </c>
      <c r="D28">
        <v>2.706</v>
      </c>
      <c r="E28">
        <v>2.714</v>
      </c>
      <c r="F28">
        <v>2.7069999999999999</v>
      </c>
      <c r="G28">
        <v>2.7170000000000001</v>
      </c>
      <c r="H28">
        <v>2.7949999999999999</v>
      </c>
      <c r="I28">
        <v>2.9860000000000002</v>
      </c>
      <c r="J28">
        <v>3.1030000000000002</v>
      </c>
      <c r="K28">
        <v>3.3050000000000002</v>
      </c>
      <c r="L28">
        <v>3.4590000000000001</v>
      </c>
      <c r="M28">
        <v>3.734</v>
      </c>
      <c r="N28">
        <v>3.9049999999999998</v>
      </c>
      <c r="O28">
        <v>4.09</v>
      </c>
      <c r="P28">
        <v>4.1559999999999997</v>
      </c>
    </row>
    <row r="29" spans="1:16">
      <c r="A29">
        <v>75290211</v>
      </c>
      <c r="B29" t="s">
        <v>43</v>
      </c>
      <c r="C29">
        <v>3.2949999999999999</v>
      </c>
      <c r="D29">
        <v>3.6179999999999999</v>
      </c>
      <c r="E29">
        <v>3.7160000000000002</v>
      </c>
      <c r="F29">
        <v>3.8420000000000001</v>
      </c>
      <c r="G29">
        <v>3.871</v>
      </c>
      <c r="H29">
        <v>4.1340000000000003</v>
      </c>
      <c r="I29">
        <v>4.3869999999999996</v>
      </c>
      <c r="J29">
        <v>4.5220000000000002</v>
      </c>
      <c r="K29">
        <v>4.62</v>
      </c>
      <c r="L29">
        <v>4.7789999999999999</v>
      </c>
      <c r="M29">
        <v>4.9729999999999999</v>
      </c>
      <c r="N29">
        <v>5.391</v>
      </c>
      <c r="O29">
        <v>5.6589999999999998</v>
      </c>
      <c r="P29">
        <v>5.8819999999999997</v>
      </c>
    </row>
    <row r="30" spans="1:16">
      <c r="A30">
        <v>75290212</v>
      </c>
      <c r="B30" t="s">
        <v>44</v>
      </c>
      <c r="C30">
        <v>3.9220000000000002</v>
      </c>
      <c r="D30">
        <v>4.3150000000000004</v>
      </c>
      <c r="E30">
        <v>4.42</v>
      </c>
      <c r="F30">
        <v>4.5839999999999996</v>
      </c>
      <c r="G30">
        <v>4.6710000000000003</v>
      </c>
      <c r="H30">
        <v>4.96</v>
      </c>
      <c r="I30">
        <v>5.2510000000000003</v>
      </c>
      <c r="J30">
        <v>5.4370000000000003</v>
      </c>
      <c r="K30">
        <v>5.5620000000000003</v>
      </c>
      <c r="L30">
        <v>5.8289999999999997</v>
      </c>
      <c r="M30">
        <v>6.1790000000000003</v>
      </c>
      <c r="N30">
        <v>6.7270000000000003</v>
      </c>
      <c r="O30">
        <v>7.0679999999999996</v>
      </c>
      <c r="P30">
        <v>7.3730000000000002</v>
      </c>
    </row>
    <row r="31" spans="1:16">
      <c r="A31">
        <v>75290213</v>
      </c>
      <c r="B31" t="s">
        <v>45</v>
      </c>
      <c r="C31">
        <v>5.2160000000000002</v>
      </c>
      <c r="D31">
        <v>5.65</v>
      </c>
      <c r="E31">
        <v>5.782</v>
      </c>
      <c r="F31">
        <v>5.9080000000000004</v>
      </c>
      <c r="G31">
        <v>6.0030000000000001</v>
      </c>
      <c r="H31">
        <v>6.3079999999999998</v>
      </c>
      <c r="I31">
        <v>6.5990000000000002</v>
      </c>
      <c r="J31">
        <v>6.7850000000000001</v>
      </c>
      <c r="K31">
        <v>6.9340000000000002</v>
      </c>
      <c r="L31">
        <v>7.23</v>
      </c>
      <c r="M31">
        <v>7.5549999999999997</v>
      </c>
      <c r="N31">
        <v>8.0570000000000004</v>
      </c>
      <c r="O31">
        <v>8.3729999999999993</v>
      </c>
      <c r="P31">
        <v>8.6539999999999999</v>
      </c>
    </row>
    <row r="32" spans="1:16">
      <c r="A32">
        <v>75390121</v>
      </c>
      <c r="B32" t="s">
        <v>46</v>
      </c>
      <c r="C32">
        <v>1.6080000000000001</v>
      </c>
      <c r="D32">
        <v>1.619</v>
      </c>
      <c r="E32">
        <v>1.617</v>
      </c>
      <c r="F32">
        <v>1.603</v>
      </c>
      <c r="G32">
        <v>1.593</v>
      </c>
      <c r="H32">
        <v>1.619</v>
      </c>
      <c r="I32">
        <v>1.6359999999999999</v>
      </c>
      <c r="J32">
        <v>1.651</v>
      </c>
      <c r="K32">
        <v>1.673</v>
      </c>
      <c r="L32">
        <v>1.712</v>
      </c>
      <c r="M32">
        <v>1.837</v>
      </c>
      <c r="N32">
        <v>2.1629999999999998</v>
      </c>
      <c r="O32">
        <v>2.4390000000000001</v>
      </c>
      <c r="P32">
        <v>2.52</v>
      </c>
    </row>
    <row r="33" spans="1:16">
      <c r="A33">
        <v>75390122</v>
      </c>
      <c r="B33" t="s">
        <v>47</v>
      </c>
      <c r="C33">
        <v>1.633</v>
      </c>
      <c r="D33">
        <v>1.6379999999999999</v>
      </c>
      <c r="E33">
        <v>1.635</v>
      </c>
      <c r="F33">
        <v>1.6180000000000001</v>
      </c>
      <c r="G33">
        <v>1.609</v>
      </c>
      <c r="H33">
        <v>1.6339999999999999</v>
      </c>
      <c r="I33">
        <v>1.6519999999999999</v>
      </c>
      <c r="J33">
        <v>1.673</v>
      </c>
      <c r="K33">
        <v>1.7090000000000001</v>
      </c>
      <c r="L33">
        <v>1.8560000000000001</v>
      </c>
      <c r="M33">
        <v>2.0409999999999999</v>
      </c>
      <c r="N33">
        <v>2.3969999999999998</v>
      </c>
      <c r="O33">
        <v>2.6880000000000002</v>
      </c>
      <c r="P33">
        <v>2.7789999999999999</v>
      </c>
    </row>
    <row r="34" spans="1:16">
      <c r="A34">
        <v>75390123</v>
      </c>
      <c r="B34" t="s">
        <v>48</v>
      </c>
      <c r="C34">
        <v>1.667</v>
      </c>
      <c r="D34">
        <v>1.675</v>
      </c>
      <c r="E34">
        <v>1.6739999999999999</v>
      </c>
      <c r="F34">
        <v>1.667</v>
      </c>
      <c r="G34">
        <v>1.68</v>
      </c>
      <c r="H34">
        <v>1.716</v>
      </c>
      <c r="I34">
        <v>1.736</v>
      </c>
      <c r="J34">
        <v>1.764</v>
      </c>
      <c r="K34">
        <v>1.819</v>
      </c>
      <c r="L34">
        <v>1.982</v>
      </c>
      <c r="M34">
        <v>2.2160000000000002</v>
      </c>
      <c r="N34">
        <v>2.64</v>
      </c>
      <c r="O34">
        <v>2.9049999999999998</v>
      </c>
      <c r="P34">
        <v>2.996</v>
      </c>
    </row>
    <row r="35" spans="1:16">
      <c r="A35">
        <v>75390131</v>
      </c>
      <c r="B35" t="s">
        <v>49</v>
      </c>
      <c r="C35">
        <v>1.728</v>
      </c>
      <c r="D35">
        <v>1.7470000000000001</v>
      </c>
      <c r="E35">
        <v>1.75</v>
      </c>
      <c r="F35">
        <v>1.762</v>
      </c>
      <c r="G35">
        <v>1.7749999999999999</v>
      </c>
      <c r="H35">
        <v>1.837</v>
      </c>
      <c r="I35">
        <v>1.883</v>
      </c>
      <c r="J35">
        <v>2.024</v>
      </c>
      <c r="K35">
        <v>2.1749999999999998</v>
      </c>
      <c r="L35">
        <v>2.3330000000000002</v>
      </c>
      <c r="M35">
        <v>2.71</v>
      </c>
      <c r="N35">
        <v>3.1040000000000001</v>
      </c>
      <c r="O35">
        <v>3.3450000000000002</v>
      </c>
      <c r="P35">
        <v>3.43</v>
      </c>
    </row>
    <row r="36" spans="1:16">
      <c r="A36">
        <v>75390132</v>
      </c>
      <c r="B36" t="s">
        <v>50</v>
      </c>
      <c r="C36">
        <v>1.9430000000000001</v>
      </c>
      <c r="D36">
        <v>1.9610000000000001</v>
      </c>
      <c r="E36">
        <v>1.966</v>
      </c>
      <c r="F36">
        <v>1.956</v>
      </c>
      <c r="G36">
        <v>1.964</v>
      </c>
      <c r="H36">
        <v>2.0920000000000001</v>
      </c>
      <c r="I36">
        <v>2.2519999999999998</v>
      </c>
      <c r="J36">
        <v>2.3660000000000001</v>
      </c>
      <c r="K36">
        <v>2.5830000000000002</v>
      </c>
      <c r="L36">
        <v>2.7639999999999998</v>
      </c>
      <c r="M36">
        <v>3.0539999999999998</v>
      </c>
      <c r="N36">
        <v>3.3839999999999999</v>
      </c>
      <c r="O36">
        <v>3.597</v>
      </c>
      <c r="P36">
        <v>3.68</v>
      </c>
    </row>
    <row r="37" spans="1:16">
      <c r="A37">
        <v>75390133</v>
      </c>
      <c r="B37" t="s">
        <v>51</v>
      </c>
      <c r="C37">
        <v>2.5590000000000002</v>
      </c>
      <c r="D37">
        <v>2.706</v>
      </c>
      <c r="E37">
        <v>2.714</v>
      </c>
      <c r="F37">
        <v>2.7069999999999999</v>
      </c>
      <c r="G37">
        <v>2.7170000000000001</v>
      </c>
      <c r="H37">
        <v>2.7949999999999999</v>
      </c>
      <c r="I37">
        <v>2.9860000000000002</v>
      </c>
      <c r="J37">
        <v>3.1030000000000002</v>
      </c>
      <c r="K37">
        <v>3.3050000000000002</v>
      </c>
      <c r="L37">
        <v>3.4590000000000001</v>
      </c>
      <c r="M37">
        <v>3.734</v>
      </c>
      <c r="N37">
        <v>3.9049999999999998</v>
      </c>
      <c r="O37">
        <v>4.09</v>
      </c>
      <c r="P37">
        <v>4.1559999999999997</v>
      </c>
    </row>
    <row r="38" spans="1:16">
      <c r="A38">
        <v>75390211</v>
      </c>
      <c r="B38" t="s">
        <v>52</v>
      </c>
      <c r="C38">
        <v>3.2959999999999998</v>
      </c>
      <c r="D38">
        <v>3.6030000000000002</v>
      </c>
      <c r="E38">
        <v>3.6859999999999999</v>
      </c>
      <c r="F38">
        <v>3.8079999999999998</v>
      </c>
      <c r="G38">
        <v>3.8439999999999999</v>
      </c>
      <c r="H38">
        <v>4.1109999999999998</v>
      </c>
      <c r="I38">
        <v>4.4119999999999999</v>
      </c>
      <c r="J38">
        <v>4.5670000000000002</v>
      </c>
      <c r="K38">
        <v>4.665</v>
      </c>
      <c r="L38">
        <v>4.835</v>
      </c>
      <c r="M38">
        <v>5.0279999999999996</v>
      </c>
      <c r="N38">
        <v>5.4379999999999997</v>
      </c>
      <c r="O38">
        <v>5.7069999999999999</v>
      </c>
      <c r="P38">
        <v>5.94</v>
      </c>
    </row>
    <row r="39" spans="1:16">
      <c r="A39">
        <v>75390212</v>
      </c>
      <c r="B39" t="s">
        <v>53</v>
      </c>
      <c r="C39">
        <v>3.91</v>
      </c>
      <c r="D39">
        <v>4.3</v>
      </c>
      <c r="E39">
        <v>4.3890000000000002</v>
      </c>
      <c r="F39">
        <v>4.5510000000000002</v>
      </c>
      <c r="G39">
        <v>4.6440000000000001</v>
      </c>
      <c r="H39">
        <v>4.9459999999999997</v>
      </c>
      <c r="I39">
        <v>5.2770000000000001</v>
      </c>
      <c r="J39">
        <v>5.4859999999999998</v>
      </c>
      <c r="K39">
        <v>5.6020000000000003</v>
      </c>
      <c r="L39">
        <v>5.875</v>
      </c>
      <c r="M39">
        <v>6.1970000000000001</v>
      </c>
      <c r="N39">
        <v>6.7590000000000003</v>
      </c>
      <c r="O39">
        <v>7.11</v>
      </c>
      <c r="P39">
        <v>7.4539999999999997</v>
      </c>
    </row>
    <row r="40" spans="1:16">
      <c r="A40">
        <v>75390213</v>
      </c>
      <c r="B40" t="s">
        <v>54</v>
      </c>
      <c r="C40">
        <v>5.2679999999999998</v>
      </c>
      <c r="D40">
        <v>5.665</v>
      </c>
      <c r="E40">
        <v>5.7889999999999997</v>
      </c>
      <c r="F40">
        <v>5.9009999999999998</v>
      </c>
      <c r="G40">
        <v>6.0030000000000001</v>
      </c>
      <c r="H40">
        <v>6.3259999999999996</v>
      </c>
      <c r="I40">
        <v>6.6580000000000004</v>
      </c>
      <c r="J40">
        <v>6.867</v>
      </c>
      <c r="K40">
        <v>7.0140000000000002</v>
      </c>
      <c r="L40">
        <v>7.3259999999999996</v>
      </c>
      <c r="M40">
        <v>7.6150000000000002</v>
      </c>
      <c r="N40">
        <v>8.1159999999999997</v>
      </c>
      <c r="O40">
        <v>8.4339999999999993</v>
      </c>
      <c r="P40">
        <v>8.7579999999999991</v>
      </c>
    </row>
    <row r="41" spans="1:16">
      <c r="A41">
        <v>76290110</v>
      </c>
      <c r="B41" t="s">
        <v>55</v>
      </c>
      <c r="C41">
        <v>1.458</v>
      </c>
      <c r="D41">
        <v>1.5209999999999999</v>
      </c>
      <c r="E41">
        <v>1.5760000000000001</v>
      </c>
      <c r="F41">
        <v>1.5780000000000001</v>
      </c>
      <c r="G41">
        <v>1.573</v>
      </c>
      <c r="H41">
        <v>1.585</v>
      </c>
      <c r="I41">
        <v>1.607</v>
      </c>
      <c r="J41">
        <v>1.63</v>
      </c>
      <c r="K41">
        <v>1.655</v>
      </c>
      <c r="L41">
        <v>1.661</v>
      </c>
      <c r="M41">
        <v>1.7050000000000001</v>
      </c>
      <c r="N41">
        <v>1.78</v>
      </c>
      <c r="O41">
        <v>1.8380000000000001</v>
      </c>
      <c r="P41">
        <v>1.9359999999999999</v>
      </c>
    </row>
    <row r="42" spans="1:16">
      <c r="A42">
        <v>76290121</v>
      </c>
      <c r="B42" t="s">
        <v>56</v>
      </c>
      <c r="C42">
        <v>1.488</v>
      </c>
      <c r="D42">
        <v>1.5449999999999999</v>
      </c>
      <c r="E42">
        <v>1.6</v>
      </c>
      <c r="F42">
        <v>1.6020000000000001</v>
      </c>
      <c r="G42">
        <v>1.593</v>
      </c>
      <c r="H42">
        <v>1.6060000000000001</v>
      </c>
      <c r="I42">
        <v>1.63</v>
      </c>
      <c r="J42">
        <v>1.653</v>
      </c>
      <c r="K42">
        <v>1.679</v>
      </c>
      <c r="L42">
        <v>1.7050000000000001</v>
      </c>
      <c r="M42">
        <v>1.837</v>
      </c>
      <c r="N42">
        <v>2.0529999999999999</v>
      </c>
      <c r="O42">
        <v>2.2360000000000002</v>
      </c>
      <c r="P42">
        <v>2.323</v>
      </c>
    </row>
    <row r="43" spans="1:16">
      <c r="A43">
        <v>76290122</v>
      </c>
      <c r="B43" t="s">
        <v>57</v>
      </c>
      <c r="C43">
        <v>1.5369999999999999</v>
      </c>
      <c r="D43">
        <v>1.5880000000000001</v>
      </c>
      <c r="E43">
        <v>1.6419999999999999</v>
      </c>
      <c r="F43">
        <v>1.637</v>
      </c>
      <c r="G43">
        <v>1.629</v>
      </c>
      <c r="H43">
        <v>1.6419999999999999</v>
      </c>
      <c r="I43">
        <v>1.6659999999999999</v>
      </c>
      <c r="J43">
        <v>1.69</v>
      </c>
      <c r="K43">
        <v>1.7190000000000001</v>
      </c>
      <c r="L43">
        <v>1.766</v>
      </c>
      <c r="M43">
        <v>1.992</v>
      </c>
      <c r="N43">
        <v>2.4430000000000001</v>
      </c>
      <c r="O43">
        <v>2.8610000000000002</v>
      </c>
      <c r="P43">
        <v>2.9529999999999998</v>
      </c>
    </row>
    <row r="44" spans="1:16">
      <c r="A44">
        <v>76290123</v>
      </c>
      <c r="B44" t="s">
        <v>58</v>
      </c>
      <c r="C44">
        <v>1.5629999999999999</v>
      </c>
      <c r="D44">
        <v>1.6140000000000001</v>
      </c>
      <c r="E44">
        <v>1.6679999999999999</v>
      </c>
      <c r="F44">
        <v>1.665</v>
      </c>
      <c r="G44">
        <v>1.657</v>
      </c>
      <c r="H44">
        <v>1.67</v>
      </c>
      <c r="I44">
        <v>1.6890000000000001</v>
      </c>
      <c r="J44">
        <v>1.712</v>
      </c>
      <c r="K44">
        <v>1.786</v>
      </c>
      <c r="L44">
        <v>1.875</v>
      </c>
      <c r="M44">
        <v>2.2000000000000002</v>
      </c>
      <c r="N44">
        <v>2.786</v>
      </c>
      <c r="O44">
        <v>3.351</v>
      </c>
      <c r="P44">
        <v>3.4929999999999999</v>
      </c>
    </row>
    <row r="45" spans="1:16">
      <c r="A45">
        <v>76290131</v>
      </c>
      <c r="B45" t="s">
        <v>59</v>
      </c>
      <c r="C45">
        <v>1.623</v>
      </c>
      <c r="D45">
        <v>1.679</v>
      </c>
      <c r="E45">
        <v>1.726</v>
      </c>
      <c r="F45">
        <v>1.7150000000000001</v>
      </c>
      <c r="G45">
        <v>1.7190000000000001</v>
      </c>
      <c r="H45">
        <v>1.7330000000000001</v>
      </c>
      <c r="I45">
        <v>1.7669999999999999</v>
      </c>
      <c r="J45">
        <v>1.89</v>
      </c>
      <c r="K45">
        <v>2.028</v>
      </c>
      <c r="L45">
        <v>2.2519999999999998</v>
      </c>
      <c r="M45">
        <v>2.5990000000000002</v>
      </c>
      <c r="N45">
        <v>3.2029999999999998</v>
      </c>
      <c r="O45">
        <v>3.669</v>
      </c>
      <c r="P45">
        <v>3.843</v>
      </c>
    </row>
    <row r="46" spans="1:16">
      <c r="A46">
        <v>76290132</v>
      </c>
      <c r="B46" t="s">
        <v>60</v>
      </c>
      <c r="C46">
        <v>1.7669999999999999</v>
      </c>
      <c r="D46">
        <v>1.829</v>
      </c>
      <c r="E46">
        <v>1.885</v>
      </c>
      <c r="F46">
        <v>1.88</v>
      </c>
      <c r="G46">
        <v>1.8919999999999999</v>
      </c>
      <c r="H46">
        <v>1.905</v>
      </c>
      <c r="I46">
        <v>1.9750000000000001</v>
      </c>
      <c r="J46">
        <v>2.1480000000000001</v>
      </c>
      <c r="K46">
        <v>2.3660000000000001</v>
      </c>
      <c r="L46">
        <v>2.6520000000000001</v>
      </c>
      <c r="M46">
        <v>3.012</v>
      </c>
      <c r="N46">
        <v>3.6429999999999998</v>
      </c>
      <c r="O46">
        <v>4.0419999999999998</v>
      </c>
      <c r="P46">
        <v>4.2060000000000004</v>
      </c>
    </row>
    <row r="47" spans="1:16">
      <c r="A47">
        <v>76290133</v>
      </c>
      <c r="B47" t="s">
        <v>61</v>
      </c>
      <c r="C47">
        <v>1.9870000000000001</v>
      </c>
      <c r="D47">
        <v>2.0640000000000001</v>
      </c>
      <c r="E47">
        <v>2.1349999999999998</v>
      </c>
      <c r="F47">
        <v>2.1389999999999998</v>
      </c>
      <c r="G47">
        <v>2.1629999999999998</v>
      </c>
      <c r="H47">
        <v>2.2429999999999999</v>
      </c>
      <c r="I47">
        <v>2.3929999999999998</v>
      </c>
      <c r="J47">
        <v>2.6059999999999999</v>
      </c>
      <c r="K47">
        <v>2.8889999999999998</v>
      </c>
      <c r="L47">
        <v>3.262</v>
      </c>
      <c r="M47">
        <v>3.5720000000000001</v>
      </c>
      <c r="N47">
        <v>4.173</v>
      </c>
      <c r="O47">
        <v>4.5570000000000004</v>
      </c>
      <c r="P47">
        <v>4.7709999999999999</v>
      </c>
    </row>
    <row r="48" spans="1:16">
      <c r="A48">
        <v>76290911</v>
      </c>
      <c r="B48" t="s">
        <v>62</v>
      </c>
      <c r="C48">
        <v>1.4830000000000001</v>
      </c>
      <c r="D48">
        <v>1.5109999999999999</v>
      </c>
      <c r="E48">
        <v>1.5269999999999999</v>
      </c>
      <c r="F48">
        <v>1.5129999999999999</v>
      </c>
      <c r="G48">
        <v>1.5149999999999999</v>
      </c>
      <c r="H48">
        <v>1.544</v>
      </c>
      <c r="I48">
        <v>1.55</v>
      </c>
      <c r="J48">
        <v>1.5640000000000001</v>
      </c>
      <c r="K48">
        <v>1.5940000000000001</v>
      </c>
      <c r="L48">
        <v>1.623</v>
      </c>
      <c r="M48">
        <v>1.6890000000000001</v>
      </c>
      <c r="N48">
        <v>1.7669999999999999</v>
      </c>
      <c r="O48">
        <v>1.7070000000000001</v>
      </c>
      <c r="P48">
        <v>1.7390000000000001</v>
      </c>
    </row>
    <row r="49" spans="1:16">
      <c r="A49">
        <v>76290912</v>
      </c>
      <c r="B49" t="s">
        <v>63</v>
      </c>
      <c r="C49">
        <v>1.51</v>
      </c>
      <c r="D49">
        <v>1.5349999999999999</v>
      </c>
      <c r="E49">
        <v>1.5629999999999999</v>
      </c>
      <c r="F49">
        <v>1.56</v>
      </c>
      <c r="G49">
        <v>1.5820000000000001</v>
      </c>
      <c r="H49">
        <v>1.655</v>
      </c>
      <c r="I49">
        <v>1.6739999999999999</v>
      </c>
      <c r="J49">
        <v>1.6990000000000001</v>
      </c>
      <c r="K49">
        <v>1.7230000000000001</v>
      </c>
      <c r="L49">
        <v>1.7470000000000001</v>
      </c>
      <c r="M49">
        <v>1.8759999999999999</v>
      </c>
      <c r="N49">
        <v>2.0569999999999999</v>
      </c>
      <c r="O49">
        <v>1.821</v>
      </c>
      <c r="P49">
        <v>1.8959999999999999</v>
      </c>
    </row>
    <row r="50" spans="1:16">
      <c r="A50">
        <v>76290913</v>
      </c>
      <c r="B50" t="s">
        <v>64</v>
      </c>
      <c r="C50">
        <v>1.6379999999999999</v>
      </c>
      <c r="D50">
        <v>1.673</v>
      </c>
      <c r="E50">
        <v>1.7010000000000001</v>
      </c>
      <c r="F50">
        <v>1.7130000000000001</v>
      </c>
      <c r="G50">
        <v>1.748</v>
      </c>
      <c r="H50">
        <v>1.7909999999999999</v>
      </c>
      <c r="I50">
        <v>1.8160000000000001</v>
      </c>
      <c r="J50">
        <v>1.849</v>
      </c>
      <c r="K50">
        <v>1.8680000000000001</v>
      </c>
      <c r="L50">
        <v>1.9159999999999999</v>
      </c>
      <c r="M50">
        <v>2.0329999999999999</v>
      </c>
      <c r="N50">
        <v>2.371</v>
      </c>
      <c r="O50">
        <v>2.0539999999999998</v>
      </c>
      <c r="P50">
        <v>2.1659999999999999</v>
      </c>
    </row>
    <row r="51" spans="1:16">
      <c r="A51">
        <v>76290914</v>
      </c>
      <c r="B51" t="s">
        <v>65</v>
      </c>
      <c r="C51">
        <v>1.742</v>
      </c>
      <c r="D51">
        <v>1.9350000000000001</v>
      </c>
      <c r="E51">
        <v>2.1230000000000002</v>
      </c>
      <c r="F51">
        <v>2.23</v>
      </c>
      <c r="G51">
        <v>2.38</v>
      </c>
      <c r="H51">
        <v>2.6230000000000002</v>
      </c>
      <c r="I51">
        <v>2.75</v>
      </c>
      <c r="J51">
        <v>2.9390000000000001</v>
      </c>
      <c r="K51">
        <v>2.9729999999999999</v>
      </c>
      <c r="L51">
        <v>3.044</v>
      </c>
      <c r="M51">
        <v>3.113</v>
      </c>
      <c r="N51">
        <v>3.274</v>
      </c>
      <c r="O51">
        <v>2.0720000000000001</v>
      </c>
      <c r="P51">
        <v>2.17</v>
      </c>
    </row>
    <row r="52" spans="1:16">
      <c r="A52">
        <v>76390110</v>
      </c>
      <c r="B52" t="s">
        <v>66</v>
      </c>
      <c r="C52">
        <v>1.4650000000000001</v>
      </c>
      <c r="D52">
        <v>1.524</v>
      </c>
      <c r="E52">
        <v>1.5660000000000001</v>
      </c>
      <c r="F52">
        <v>1.5740000000000001</v>
      </c>
      <c r="G52">
        <v>1.5760000000000001</v>
      </c>
      <c r="H52">
        <v>1.5940000000000001</v>
      </c>
      <c r="I52">
        <v>1.607</v>
      </c>
      <c r="J52">
        <v>1.63</v>
      </c>
      <c r="K52">
        <v>1.6539999999999999</v>
      </c>
      <c r="L52">
        <v>1.6659999999999999</v>
      </c>
      <c r="M52">
        <v>1.7110000000000001</v>
      </c>
      <c r="N52">
        <v>1.7769999999999999</v>
      </c>
      <c r="O52">
        <v>1.851</v>
      </c>
      <c r="P52">
        <v>1.9410000000000001</v>
      </c>
    </row>
    <row r="53" spans="1:16">
      <c r="A53">
        <v>76390121</v>
      </c>
      <c r="B53" t="s">
        <v>67</v>
      </c>
      <c r="C53">
        <v>1.4950000000000001</v>
      </c>
      <c r="D53">
        <v>1.552</v>
      </c>
      <c r="E53">
        <v>1.593</v>
      </c>
      <c r="F53">
        <v>1.5980000000000001</v>
      </c>
      <c r="G53">
        <v>1.5960000000000001</v>
      </c>
      <c r="H53">
        <v>1.617</v>
      </c>
      <c r="I53">
        <v>1.6319999999999999</v>
      </c>
      <c r="J53">
        <v>1.6559999999999999</v>
      </c>
      <c r="K53">
        <v>1.68</v>
      </c>
      <c r="L53">
        <v>1.714</v>
      </c>
      <c r="M53">
        <v>1.8420000000000001</v>
      </c>
      <c r="N53">
        <v>2.052</v>
      </c>
      <c r="O53">
        <v>2.238</v>
      </c>
      <c r="P53">
        <v>2.3210000000000002</v>
      </c>
    </row>
    <row r="54" spans="1:16">
      <c r="A54">
        <v>76390122</v>
      </c>
      <c r="B54" t="s">
        <v>68</v>
      </c>
      <c r="C54">
        <v>1.536</v>
      </c>
      <c r="D54">
        <v>1.593</v>
      </c>
      <c r="E54">
        <v>1.6319999999999999</v>
      </c>
      <c r="F54">
        <v>1.635</v>
      </c>
      <c r="G54">
        <v>1.633</v>
      </c>
      <c r="H54">
        <v>1.6539999999999999</v>
      </c>
      <c r="I54">
        <v>1.669</v>
      </c>
      <c r="J54">
        <v>1.6919999999999999</v>
      </c>
      <c r="K54">
        <v>1.7170000000000001</v>
      </c>
      <c r="L54">
        <v>1.7749999999999999</v>
      </c>
      <c r="M54">
        <v>1.994</v>
      </c>
      <c r="N54">
        <v>2.4380000000000002</v>
      </c>
      <c r="O54">
        <v>2.8410000000000002</v>
      </c>
      <c r="P54">
        <v>2.9359999999999999</v>
      </c>
    </row>
    <row r="55" spans="1:16">
      <c r="A55">
        <v>76390123</v>
      </c>
      <c r="B55" t="s">
        <v>69</v>
      </c>
      <c r="C55">
        <v>1.5640000000000001</v>
      </c>
      <c r="D55">
        <v>1.621</v>
      </c>
      <c r="E55">
        <v>1.6619999999999999</v>
      </c>
      <c r="F55">
        <v>1.6639999999999999</v>
      </c>
      <c r="G55">
        <v>1.6619999999999999</v>
      </c>
      <c r="H55">
        <v>1.6830000000000001</v>
      </c>
      <c r="I55">
        <v>1.696</v>
      </c>
      <c r="J55">
        <v>1.718</v>
      </c>
      <c r="K55">
        <v>1.7829999999999999</v>
      </c>
      <c r="L55">
        <v>1.8779999999999999</v>
      </c>
      <c r="M55">
        <v>2.1989999999999998</v>
      </c>
      <c r="N55">
        <v>2.7879999999999998</v>
      </c>
      <c r="O55">
        <v>3.3239999999999998</v>
      </c>
      <c r="P55">
        <v>3.4809999999999999</v>
      </c>
    </row>
    <row r="56" spans="1:16">
      <c r="A56">
        <v>76390131</v>
      </c>
      <c r="B56" t="s">
        <v>70</v>
      </c>
      <c r="C56">
        <v>1.623</v>
      </c>
      <c r="D56">
        <v>1.6819999999999999</v>
      </c>
      <c r="E56">
        <v>1.72</v>
      </c>
      <c r="F56">
        <v>1.718</v>
      </c>
      <c r="G56">
        <v>1.7190000000000001</v>
      </c>
      <c r="H56">
        <v>1.738</v>
      </c>
      <c r="I56">
        <v>1.7589999999999999</v>
      </c>
      <c r="J56">
        <v>1.887</v>
      </c>
      <c r="K56">
        <v>2.0259999999999998</v>
      </c>
      <c r="L56">
        <v>2.2690000000000001</v>
      </c>
      <c r="M56">
        <v>2.6019999999999999</v>
      </c>
      <c r="N56">
        <v>3.1930000000000001</v>
      </c>
      <c r="O56">
        <v>3.6520000000000001</v>
      </c>
      <c r="P56">
        <v>3.8340000000000001</v>
      </c>
    </row>
    <row r="57" spans="1:16">
      <c r="A57">
        <v>76390132</v>
      </c>
      <c r="B57" t="s">
        <v>71</v>
      </c>
      <c r="C57">
        <v>1.7669999999999999</v>
      </c>
      <c r="D57">
        <v>1.835</v>
      </c>
      <c r="E57">
        <v>1.88</v>
      </c>
      <c r="F57">
        <v>1.879</v>
      </c>
      <c r="G57">
        <v>1.8839999999999999</v>
      </c>
      <c r="H57">
        <v>1.9119999999999999</v>
      </c>
      <c r="I57">
        <v>1.9690000000000001</v>
      </c>
      <c r="J57">
        <v>2.1549999999999998</v>
      </c>
      <c r="K57">
        <v>2.3730000000000002</v>
      </c>
      <c r="L57">
        <v>2.6819999999999999</v>
      </c>
      <c r="M57">
        <v>3.0350000000000001</v>
      </c>
      <c r="N57">
        <v>3.6459999999999999</v>
      </c>
      <c r="O57">
        <v>4.0510000000000002</v>
      </c>
      <c r="P57">
        <v>4.26</v>
      </c>
    </row>
    <row r="58" spans="1:16">
      <c r="A58">
        <v>76390133</v>
      </c>
      <c r="B58" t="s">
        <v>72</v>
      </c>
      <c r="C58">
        <v>1.9910000000000001</v>
      </c>
      <c r="D58">
        <v>2.0750000000000002</v>
      </c>
      <c r="E58">
        <v>2.1259999999999999</v>
      </c>
      <c r="F58">
        <v>2.141</v>
      </c>
      <c r="G58">
        <v>2.1579999999999999</v>
      </c>
      <c r="H58">
        <v>2.2450000000000001</v>
      </c>
      <c r="I58">
        <v>2.37</v>
      </c>
      <c r="J58">
        <v>2.5990000000000002</v>
      </c>
      <c r="K58">
        <v>2.8780000000000001</v>
      </c>
      <c r="L58">
        <v>3.2690000000000001</v>
      </c>
      <c r="M58">
        <v>3.57</v>
      </c>
      <c r="N58">
        <v>4.1619999999999999</v>
      </c>
      <c r="O58">
        <v>4.5599999999999996</v>
      </c>
      <c r="P58">
        <v>4.8330000000000002</v>
      </c>
    </row>
    <row r="59" spans="1:16">
      <c r="A59">
        <v>76390211</v>
      </c>
      <c r="B59" t="s">
        <v>73</v>
      </c>
      <c r="C59">
        <v>2.6339999999999999</v>
      </c>
      <c r="D59">
        <v>3.0390000000000001</v>
      </c>
      <c r="E59">
        <v>3.4180000000000001</v>
      </c>
      <c r="F59">
        <v>3.6320000000000001</v>
      </c>
      <c r="G59">
        <v>4.0069999999999997</v>
      </c>
      <c r="H59">
        <v>4.5209999999999999</v>
      </c>
      <c r="I59">
        <v>4.8600000000000003</v>
      </c>
      <c r="J59">
        <v>5.2160000000000002</v>
      </c>
      <c r="K59">
        <v>5.2809999999999997</v>
      </c>
      <c r="L59">
        <v>5.4189999999999996</v>
      </c>
      <c r="M59">
        <v>5.5410000000000004</v>
      </c>
      <c r="N59">
        <v>5.8250000000000002</v>
      </c>
      <c r="O59">
        <v>6.2389999999999999</v>
      </c>
      <c r="P59">
        <v>6.484</v>
      </c>
    </row>
    <row r="60" spans="1:16">
      <c r="A60">
        <v>76390212</v>
      </c>
      <c r="B60" t="s">
        <v>74</v>
      </c>
      <c r="C60">
        <v>3.0139999999999998</v>
      </c>
      <c r="D60">
        <v>3.5419999999999998</v>
      </c>
      <c r="E60">
        <v>3.9990000000000001</v>
      </c>
      <c r="F60">
        <v>4.3070000000000004</v>
      </c>
      <c r="G60">
        <v>4.8170000000000002</v>
      </c>
      <c r="H60">
        <v>5.4660000000000002</v>
      </c>
      <c r="I60">
        <v>5.8940000000000001</v>
      </c>
      <c r="J60">
        <v>6.2640000000000002</v>
      </c>
      <c r="K60">
        <v>6.3209999999999997</v>
      </c>
      <c r="L60">
        <v>6.4649999999999999</v>
      </c>
      <c r="M60">
        <v>6.593</v>
      </c>
      <c r="N60">
        <v>6.9429999999999996</v>
      </c>
      <c r="O60">
        <v>7.35</v>
      </c>
      <c r="P60">
        <v>7.6109999999999998</v>
      </c>
    </row>
    <row r="61" spans="1:16">
      <c r="A61">
        <v>76390213</v>
      </c>
      <c r="B61" t="s">
        <v>75</v>
      </c>
      <c r="C61">
        <v>3.6869999999999998</v>
      </c>
      <c r="D61">
        <v>4.3390000000000004</v>
      </c>
      <c r="E61">
        <v>4.931</v>
      </c>
      <c r="F61">
        <v>5.2939999999999996</v>
      </c>
      <c r="G61">
        <v>5.9329999999999998</v>
      </c>
      <c r="H61">
        <v>6.6239999999999997</v>
      </c>
      <c r="I61">
        <v>7.1260000000000003</v>
      </c>
      <c r="J61">
        <v>7.6340000000000003</v>
      </c>
      <c r="K61">
        <v>7.7489999999999997</v>
      </c>
      <c r="L61">
        <v>7.8860000000000001</v>
      </c>
      <c r="M61">
        <v>8.0129999999999999</v>
      </c>
      <c r="N61">
        <v>8.3689999999999998</v>
      </c>
      <c r="O61">
        <v>8.83</v>
      </c>
      <c r="P61">
        <v>9.0719999999999992</v>
      </c>
    </row>
    <row r="62" spans="1:16">
      <c r="A62">
        <v>76390221</v>
      </c>
      <c r="B62" t="s">
        <v>76</v>
      </c>
      <c r="C62">
        <v>5.1779999999999999</v>
      </c>
      <c r="D62">
        <v>6.016</v>
      </c>
      <c r="E62">
        <v>6.6239999999999997</v>
      </c>
      <c r="F62">
        <v>7.1950000000000003</v>
      </c>
      <c r="G62">
        <v>7.7789999999999999</v>
      </c>
      <c r="H62">
        <v>8.4710000000000001</v>
      </c>
      <c r="I62">
        <v>9.1129999999999995</v>
      </c>
      <c r="J62">
        <v>9.7070000000000007</v>
      </c>
      <c r="K62">
        <v>10.004</v>
      </c>
      <c r="L62">
        <v>10.292999999999999</v>
      </c>
      <c r="M62">
        <v>10.576000000000001</v>
      </c>
      <c r="N62">
        <v>10.738</v>
      </c>
      <c r="O62">
        <v>11.449</v>
      </c>
      <c r="P62">
        <v>11.78</v>
      </c>
    </row>
    <row r="63" spans="1:16">
      <c r="A63">
        <v>76390222</v>
      </c>
      <c r="B63" t="s">
        <v>77</v>
      </c>
      <c r="C63">
        <v>5.923</v>
      </c>
      <c r="D63">
        <v>6.7880000000000003</v>
      </c>
      <c r="E63">
        <v>7.4450000000000003</v>
      </c>
      <c r="F63">
        <v>8.0120000000000005</v>
      </c>
      <c r="G63">
        <v>8.6069999999999993</v>
      </c>
      <c r="H63">
        <v>9.3650000000000002</v>
      </c>
      <c r="I63">
        <v>10.221</v>
      </c>
      <c r="J63">
        <v>10.867000000000001</v>
      </c>
      <c r="K63">
        <v>11.134</v>
      </c>
      <c r="L63">
        <v>11.337</v>
      </c>
      <c r="M63">
        <v>11.65</v>
      </c>
      <c r="N63">
        <v>11.819000000000001</v>
      </c>
      <c r="O63">
        <v>12.618</v>
      </c>
      <c r="P63">
        <v>12.997999999999999</v>
      </c>
    </row>
    <row r="64" spans="1:16">
      <c r="A64">
        <v>76390223</v>
      </c>
      <c r="B64" t="s">
        <v>78</v>
      </c>
      <c r="C64">
        <v>6.6369999999999996</v>
      </c>
      <c r="D64">
        <v>7.6459999999999999</v>
      </c>
      <c r="E64">
        <v>8.2810000000000006</v>
      </c>
      <c r="F64">
        <v>8.8610000000000007</v>
      </c>
      <c r="G64">
        <v>9.4550000000000001</v>
      </c>
      <c r="H64">
        <v>10.282</v>
      </c>
      <c r="I64">
        <v>11.180999999999999</v>
      </c>
      <c r="J64">
        <v>11.785</v>
      </c>
      <c r="K64">
        <v>12.032</v>
      </c>
      <c r="L64">
        <v>12.255000000000001</v>
      </c>
      <c r="M64">
        <v>12.585000000000001</v>
      </c>
      <c r="N64">
        <v>12.797000000000001</v>
      </c>
      <c r="O64">
        <v>13.259</v>
      </c>
      <c r="P64">
        <v>13.65</v>
      </c>
    </row>
    <row r="65" spans="1:16">
      <c r="A65">
        <v>76490110</v>
      </c>
      <c r="B65" t="s">
        <v>79</v>
      </c>
      <c r="C65">
        <v>1.5289999999999999</v>
      </c>
      <c r="D65">
        <v>1.63</v>
      </c>
      <c r="E65">
        <v>1.6830000000000001</v>
      </c>
      <c r="F65">
        <v>1.698</v>
      </c>
      <c r="G65">
        <v>1.7110000000000001</v>
      </c>
      <c r="H65">
        <v>1.744</v>
      </c>
      <c r="I65">
        <v>1.764</v>
      </c>
      <c r="J65">
        <v>1.7969999999999999</v>
      </c>
      <c r="K65">
        <v>1.8320000000000001</v>
      </c>
      <c r="L65">
        <v>1.863</v>
      </c>
      <c r="M65">
        <v>1.948</v>
      </c>
      <c r="N65">
        <v>2.0489999999999999</v>
      </c>
      <c r="O65">
        <v>2.1720000000000002</v>
      </c>
      <c r="P65">
        <v>2.286</v>
      </c>
    </row>
    <row r="66" spans="1:16">
      <c r="A66">
        <v>76490121</v>
      </c>
      <c r="B66" t="s">
        <v>80</v>
      </c>
      <c r="C66">
        <v>1.5629999999999999</v>
      </c>
      <c r="D66">
        <v>1.673</v>
      </c>
      <c r="E66">
        <v>1.7370000000000001</v>
      </c>
      <c r="F66">
        <v>1.752</v>
      </c>
      <c r="G66">
        <v>1.7629999999999999</v>
      </c>
      <c r="H66">
        <v>1.792</v>
      </c>
      <c r="I66">
        <v>1.8160000000000001</v>
      </c>
      <c r="J66">
        <v>1.855</v>
      </c>
      <c r="K66">
        <v>1.889</v>
      </c>
      <c r="L66">
        <v>1.9370000000000001</v>
      </c>
      <c r="M66">
        <v>2.089</v>
      </c>
      <c r="N66">
        <v>2.3210000000000002</v>
      </c>
      <c r="O66">
        <v>2.5489999999999999</v>
      </c>
      <c r="P66">
        <v>2.6539999999999999</v>
      </c>
    </row>
    <row r="67" spans="1:16">
      <c r="A67">
        <v>76490122</v>
      </c>
      <c r="B67" t="s">
        <v>81</v>
      </c>
      <c r="C67">
        <v>1.621</v>
      </c>
      <c r="D67">
        <v>1.738</v>
      </c>
      <c r="E67">
        <v>1.792</v>
      </c>
      <c r="F67">
        <v>1.8069999999999999</v>
      </c>
      <c r="G67">
        <v>1.8180000000000001</v>
      </c>
      <c r="H67">
        <v>1.8520000000000001</v>
      </c>
      <c r="I67">
        <v>1.87</v>
      </c>
      <c r="J67">
        <v>1.917</v>
      </c>
      <c r="K67">
        <v>1.9510000000000001</v>
      </c>
      <c r="L67">
        <v>2.024</v>
      </c>
      <c r="M67">
        <v>2.2650000000000001</v>
      </c>
      <c r="N67">
        <v>2.722</v>
      </c>
      <c r="O67">
        <v>3.1760000000000002</v>
      </c>
      <c r="P67">
        <v>3.282</v>
      </c>
    </row>
    <row r="68" spans="1:16">
      <c r="A68">
        <v>76490123</v>
      </c>
      <c r="B68" t="s">
        <v>82</v>
      </c>
      <c r="C68">
        <v>1.667</v>
      </c>
      <c r="D68">
        <v>1.784</v>
      </c>
      <c r="E68">
        <v>1.841</v>
      </c>
      <c r="F68">
        <v>1.8620000000000001</v>
      </c>
      <c r="G68">
        <v>1.877</v>
      </c>
      <c r="H68">
        <v>1.905</v>
      </c>
      <c r="I68">
        <v>1.925</v>
      </c>
      <c r="J68">
        <v>1.9690000000000001</v>
      </c>
      <c r="K68">
        <v>2.044</v>
      </c>
      <c r="L68">
        <v>2.161</v>
      </c>
      <c r="M68">
        <v>2.5150000000000001</v>
      </c>
      <c r="N68">
        <v>3.1080000000000001</v>
      </c>
      <c r="O68">
        <v>3.6739999999999999</v>
      </c>
      <c r="P68">
        <v>3.85</v>
      </c>
    </row>
    <row r="69" spans="1:16">
      <c r="A69">
        <v>76490131</v>
      </c>
      <c r="B69" t="s">
        <v>83</v>
      </c>
      <c r="C69">
        <v>1.8129999999999999</v>
      </c>
      <c r="D69">
        <v>1.9179999999999999</v>
      </c>
      <c r="E69">
        <v>1.9790000000000001</v>
      </c>
      <c r="F69">
        <v>1.992</v>
      </c>
      <c r="G69">
        <v>2.0150000000000001</v>
      </c>
      <c r="H69">
        <v>2.0499999999999998</v>
      </c>
      <c r="I69">
        <v>2.101</v>
      </c>
      <c r="J69">
        <v>2.2429999999999999</v>
      </c>
      <c r="K69">
        <v>2.3940000000000001</v>
      </c>
      <c r="L69">
        <v>2.6560000000000001</v>
      </c>
      <c r="M69">
        <v>3.0259999999999998</v>
      </c>
      <c r="N69">
        <v>3.6549999999999998</v>
      </c>
      <c r="O69">
        <v>4.1500000000000004</v>
      </c>
      <c r="P69">
        <v>4.3460000000000001</v>
      </c>
    </row>
    <row r="70" spans="1:16">
      <c r="A70">
        <v>76490132</v>
      </c>
      <c r="B70" t="s">
        <v>84</v>
      </c>
      <c r="C70">
        <v>1.9810000000000001</v>
      </c>
      <c r="D70">
        <v>2.1</v>
      </c>
      <c r="E70">
        <v>2.169</v>
      </c>
      <c r="F70">
        <v>2.181</v>
      </c>
      <c r="G70">
        <v>2.2080000000000002</v>
      </c>
      <c r="H70">
        <v>2.2589999999999999</v>
      </c>
      <c r="I70">
        <v>2.3410000000000002</v>
      </c>
      <c r="J70">
        <v>2.5369999999999999</v>
      </c>
      <c r="K70">
        <v>2.7930000000000001</v>
      </c>
      <c r="L70">
        <v>3.1139999999999999</v>
      </c>
      <c r="M70">
        <v>3.4990000000000001</v>
      </c>
      <c r="N70">
        <v>4.1589999999999998</v>
      </c>
      <c r="O70">
        <v>4.5999999999999996</v>
      </c>
      <c r="P70">
        <v>4.8120000000000003</v>
      </c>
    </row>
    <row r="71" spans="1:16">
      <c r="A71">
        <v>76490133</v>
      </c>
      <c r="B71" t="s">
        <v>85</v>
      </c>
      <c r="C71">
        <v>2.2370000000000001</v>
      </c>
      <c r="D71">
        <v>2.3719999999999999</v>
      </c>
      <c r="E71">
        <v>2.4540000000000002</v>
      </c>
      <c r="F71">
        <v>2.484</v>
      </c>
      <c r="G71">
        <v>2.5230000000000001</v>
      </c>
      <c r="H71">
        <v>2.6230000000000002</v>
      </c>
      <c r="I71">
        <v>2.77</v>
      </c>
      <c r="J71">
        <v>3.0179999999999998</v>
      </c>
      <c r="K71">
        <v>3.3149999999999999</v>
      </c>
      <c r="L71">
        <v>3.7290000000000001</v>
      </c>
      <c r="M71">
        <v>4.0629999999999997</v>
      </c>
      <c r="N71">
        <v>4.6980000000000004</v>
      </c>
      <c r="O71">
        <v>5.1280000000000001</v>
      </c>
      <c r="P71">
        <v>5.3979999999999997</v>
      </c>
    </row>
    <row r="72" spans="1:16">
      <c r="A72">
        <v>76490211</v>
      </c>
      <c r="B72" t="s">
        <v>86</v>
      </c>
      <c r="C72">
        <v>2.9009999999999998</v>
      </c>
      <c r="D72">
        <v>3.3769999999999998</v>
      </c>
      <c r="E72">
        <v>3.8370000000000002</v>
      </c>
      <c r="F72">
        <v>4.0759999999999996</v>
      </c>
      <c r="G72">
        <v>4.4880000000000004</v>
      </c>
      <c r="H72">
        <v>4.9989999999999997</v>
      </c>
      <c r="I72">
        <v>5.36</v>
      </c>
      <c r="J72">
        <v>5.742</v>
      </c>
      <c r="K72">
        <v>5.8220000000000001</v>
      </c>
      <c r="L72">
        <v>5.9850000000000003</v>
      </c>
      <c r="M72">
        <v>6.1280000000000001</v>
      </c>
      <c r="N72">
        <v>6.4420000000000002</v>
      </c>
      <c r="O72">
        <v>6.8890000000000002</v>
      </c>
      <c r="P72">
        <v>7.1379999999999999</v>
      </c>
    </row>
    <row r="73" spans="1:16">
      <c r="A73">
        <v>76490212</v>
      </c>
      <c r="B73" t="s">
        <v>87</v>
      </c>
      <c r="C73">
        <v>3.2989999999999999</v>
      </c>
      <c r="D73">
        <v>3.9039999999999999</v>
      </c>
      <c r="E73">
        <v>4.4320000000000004</v>
      </c>
      <c r="F73">
        <v>4.8040000000000003</v>
      </c>
      <c r="G73">
        <v>5.335</v>
      </c>
      <c r="H73">
        <v>6.0019999999999998</v>
      </c>
      <c r="I73">
        <v>6.4420000000000002</v>
      </c>
      <c r="J73">
        <v>6.8579999999999997</v>
      </c>
      <c r="K73">
        <v>6.9710000000000001</v>
      </c>
      <c r="L73">
        <v>7.1109999999999998</v>
      </c>
      <c r="M73">
        <v>7.266</v>
      </c>
      <c r="N73">
        <v>7.6390000000000002</v>
      </c>
      <c r="O73">
        <v>8.0939999999999994</v>
      </c>
      <c r="P73">
        <v>8.3659999999999997</v>
      </c>
    </row>
    <row r="74" spans="1:16">
      <c r="A74">
        <v>76490213</v>
      </c>
      <c r="B74" t="s">
        <v>88</v>
      </c>
      <c r="C74">
        <v>4.2670000000000003</v>
      </c>
      <c r="D74">
        <v>4.9740000000000002</v>
      </c>
      <c r="E74">
        <v>5.6349999999999998</v>
      </c>
      <c r="F74">
        <v>6.0620000000000003</v>
      </c>
      <c r="G74">
        <v>6.766</v>
      </c>
      <c r="H74">
        <v>7.47</v>
      </c>
      <c r="I74">
        <v>7.9960000000000004</v>
      </c>
      <c r="J74">
        <v>8.5359999999999996</v>
      </c>
      <c r="K74">
        <v>8.6649999999999991</v>
      </c>
      <c r="L74">
        <v>8.82</v>
      </c>
      <c r="M74">
        <v>8.9990000000000006</v>
      </c>
      <c r="N74">
        <v>9.3580000000000005</v>
      </c>
      <c r="O74">
        <v>9.8390000000000004</v>
      </c>
      <c r="P74">
        <v>10.082000000000001</v>
      </c>
    </row>
    <row r="75" spans="1:16">
      <c r="B75" s="2" t="s">
        <v>89</v>
      </c>
      <c r="C75" s="2">
        <v>1.5109999999999999</v>
      </c>
      <c r="D75" s="2">
        <v>1.571</v>
      </c>
      <c r="E75" s="2">
        <v>1.61</v>
      </c>
      <c r="F75" s="2">
        <v>1.611</v>
      </c>
      <c r="G75" s="2">
        <v>1.6120000000000001</v>
      </c>
      <c r="H75" s="2">
        <v>1.629</v>
      </c>
      <c r="I75" s="2">
        <v>1.64</v>
      </c>
      <c r="J75" s="2">
        <v>1.661</v>
      </c>
      <c r="K75" s="2">
        <v>1.6870000000000001</v>
      </c>
      <c r="L75" s="2">
        <v>1.698</v>
      </c>
      <c r="M75" s="2">
        <v>1.758</v>
      </c>
      <c r="N75" s="2">
        <v>1.829</v>
      </c>
      <c r="O75" s="2">
        <v>1.909</v>
      </c>
      <c r="P75" s="2">
        <v>1.9950000000000001</v>
      </c>
    </row>
    <row r="76" spans="1:16">
      <c r="B76" s="2" t="s">
        <v>90</v>
      </c>
      <c r="C76" s="2">
        <v>1.4830000000000001</v>
      </c>
      <c r="D76" s="2">
        <v>1.5429999999999999</v>
      </c>
      <c r="E76" s="2">
        <v>1.59</v>
      </c>
      <c r="F76" s="2">
        <v>1.5980000000000001</v>
      </c>
      <c r="G76" s="2">
        <v>1.601</v>
      </c>
      <c r="H76" s="2">
        <v>1.6220000000000001</v>
      </c>
      <c r="I76" s="2">
        <v>1.6419999999999999</v>
      </c>
      <c r="J76" s="2">
        <v>1.675</v>
      </c>
      <c r="K76" s="2">
        <v>1.708</v>
      </c>
      <c r="L76" s="2">
        <v>1.7190000000000001</v>
      </c>
      <c r="M76" s="2">
        <v>1.7649999999999999</v>
      </c>
      <c r="N76" s="2">
        <v>1.839</v>
      </c>
      <c r="O76" s="2">
        <v>1.92</v>
      </c>
      <c r="P76" s="2">
        <v>2.0070000000000001</v>
      </c>
    </row>
    <row r="77" spans="1:16">
      <c r="B77" s="2" t="s">
        <v>91</v>
      </c>
      <c r="C77" s="2">
        <v>1.661</v>
      </c>
      <c r="D77" s="2">
        <v>1.6679999999999999</v>
      </c>
      <c r="E77" s="2">
        <v>1.6659999999999999</v>
      </c>
      <c r="F77" s="2">
        <v>1.653</v>
      </c>
      <c r="G77" s="2">
        <v>1.645</v>
      </c>
      <c r="H77" s="2">
        <v>1.6619999999999999</v>
      </c>
      <c r="I77" s="2">
        <v>1.6779999999999999</v>
      </c>
      <c r="J77" s="2">
        <v>1.6930000000000001</v>
      </c>
      <c r="K77" s="2">
        <v>1.7230000000000001</v>
      </c>
      <c r="L77" s="2">
        <v>1.8839999999999999</v>
      </c>
      <c r="M77" s="2">
        <v>2.1440000000000001</v>
      </c>
      <c r="N77" s="2">
        <v>2.5870000000000002</v>
      </c>
      <c r="O77" s="2">
        <v>2.8559999999999999</v>
      </c>
      <c r="P77" s="2">
        <v>2.9510000000000001</v>
      </c>
    </row>
    <row r="78" spans="1:16">
      <c r="B78" s="2" t="s">
        <v>92</v>
      </c>
      <c r="C78" s="2">
        <v>1.5620000000000001</v>
      </c>
      <c r="D78" s="2">
        <v>1.62</v>
      </c>
      <c r="E78" s="2">
        <v>1.663</v>
      </c>
      <c r="F78" s="2">
        <v>1.6819999999999999</v>
      </c>
      <c r="G78" s="2">
        <v>1.7050000000000001</v>
      </c>
      <c r="H78" s="2">
        <v>1.7470000000000001</v>
      </c>
      <c r="I78" s="2">
        <v>1.764</v>
      </c>
      <c r="J78" s="2">
        <v>1.7889999999999999</v>
      </c>
      <c r="K78" s="2">
        <v>1.8160000000000001</v>
      </c>
      <c r="L78" s="2">
        <v>1.853</v>
      </c>
      <c r="M78" s="2">
        <v>1.982</v>
      </c>
      <c r="N78" s="2">
        <v>2.1949999999999998</v>
      </c>
      <c r="O78" s="2">
        <v>2.3809999999999998</v>
      </c>
      <c r="P78" s="2">
        <v>2.464</v>
      </c>
    </row>
    <row r="79" spans="1:16">
      <c r="B79" s="2" t="s">
        <v>93</v>
      </c>
      <c r="C79" s="2">
        <v>1.4810000000000001</v>
      </c>
      <c r="D79" s="2">
        <v>1.538</v>
      </c>
      <c r="E79" s="2">
        <v>1.579</v>
      </c>
      <c r="F79" s="2">
        <v>1.585</v>
      </c>
      <c r="G79" s="2">
        <v>1.575</v>
      </c>
      <c r="H79" s="2">
        <v>1.593</v>
      </c>
      <c r="I79" s="2">
        <v>1.6080000000000001</v>
      </c>
      <c r="J79" s="2">
        <v>1.631</v>
      </c>
      <c r="K79" s="2">
        <v>1.65</v>
      </c>
      <c r="L79" s="2">
        <v>1.677</v>
      </c>
      <c r="M79" s="2">
        <v>1.8480000000000001</v>
      </c>
      <c r="N79" s="2">
        <v>2.1360000000000001</v>
      </c>
      <c r="O79" s="2">
        <v>2.4329999999999998</v>
      </c>
      <c r="P79" s="2">
        <v>2.516</v>
      </c>
    </row>
    <row r="80" spans="1:16">
      <c r="B80" s="2" t="s">
        <v>94</v>
      </c>
      <c r="C80" s="2">
        <v>1.631</v>
      </c>
      <c r="D80" s="2">
        <v>1.6379999999999999</v>
      </c>
      <c r="E80" s="2">
        <v>1.637</v>
      </c>
      <c r="F80" s="2">
        <v>1.629</v>
      </c>
      <c r="G80" s="2">
        <v>1.623</v>
      </c>
      <c r="H80" s="2">
        <v>1.6439999999999999</v>
      </c>
      <c r="I80" s="2">
        <v>1.6579999999999999</v>
      </c>
      <c r="J80" s="2">
        <v>1.6719999999999999</v>
      </c>
      <c r="K80" s="2">
        <v>1.6910000000000001</v>
      </c>
      <c r="L80" s="2">
        <v>1.7749999999999999</v>
      </c>
      <c r="M80" s="2">
        <v>2.0510000000000002</v>
      </c>
      <c r="N80" s="2">
        <v>2.4900000000000002</v>
      </c>
      <c r="O80" s="2">
        <v>2.7440000000000002</v>
      </c>
      <c r="P80" s="2">
        <v>2.8530000000000002</v>
      </c>
    </row>
    <row r="81" spans="2:16">
      <c r="B81" s="2" t="s">
        <v>95</v>
      </c>
      <c r="C81" s="2">
        <v>1.5369999999999999</v>
      </c>
      <c r="D81" s="2">
        <v>1.53</v>
      </c>
      <c r="E81" s="2">
        <v>1.5269999999999999</v>
      </c>
      <c r="F81" s="2">
        <v>1.516</v>
      </c>
      <c r="G81" s="2">
        <v>1.518</v>
      </c>
      <c r="H81" s="2">
        <v>1.546</v>
      </c>
      <c r="I81" s="2">
        <v>1.552</v>
      </c>
      <c r="J81" s="2">
        <v>1.5640000000000001</v>
      </c>
      <c r="K81" s="2">
        <v>1.589</v>
      </c>
      <c r="L81" s="2">
        <v>1.607</v>
      </c>
      <c r="M81" s="2">
        <v>1.6679999999999999</v>
      </c>
      <c r="N81" s="2">
        <v>1.782</v>
      </c>
      <c r="O81" s="2">
        <v>1.86</v>
      </c>
      <c r="P81" s="2">
        <v>1.9550000000000001</v>
      </c>
    </row>
    <row r="82" spans="2:16">
      <c r="B82" s="2" t="s">
        <v>96</v>
      </c>
      <c r="C82" s="2">
        <v>1.623</v>
      </c>
      <c r="D82" s="2">
        <v>1.68</v>
      </c>
      <c r="E82" s="2">
        <v>1.7190000000000001</v>
      </c>
      <c r="F82" s="2">
        <v>1.724</v>
      </c>
      <c r="G82" s="2">
        <v>1.73</v>
      </c>
      <c r="H82" s="2">
        <v>1.758</v>
      </c>
      <c r="I82" s="2">
        <v>1.8069999999999999</v>
      </c>
      <c r="J82" s="2">
        <v>1.8340000000000001</v>
      </c>
      <c r="K82" s="2">
        <v>1.8640000000000001</v>
      </c>
      <c r="L82" s="2">
        <v>1.925</v>
      </c>
      <c r="M82" s="2">
        <v>2.161</v>
      </c>
      <c r="N82" s="2">
        <v>2.6070000000000002</v>
      </c>
      <c r="O82" s="2">
        <v>3.0230000000000001</v>
      </c>
      <c r="P82" s="2">
        <v>3.1160000000000001</v>
      </c>
    </row>
    <row r="83" spans="2:16">
      <c r="B83" s="2" t="s">
        <v>97</v>
      </c>
      <c r="C83" s="2">
        <v>1.4890000000000001</v>
      </c>
      <c r="D83" s="2">
        <v>1.5449999999999999</v>
      </c>
      <c r="E83" s="2">
        <v>1.583</v>
      </c>
      <c r="F83" s="2">
        <v>1.5860000000000001</v>
      </c>
      <c r="G83" s="2">
        <v>1.5840000000000001</v>
      </c>
      <c r="H83" s="2">
        <v>1.605</v>
      </c>
      <c r="I83" s="2">
        <v>1.62</v>
      </c>
      <c r="J83" s="2">
        <v>1.6439999999999999</v>
      </c>
      <c r="K83" s="2">
        <v>1.669</v>
      </c>
      <c r="L83" s="2">
        <v>1.724</v>
      </c>
      <c r="M83" s="2">
        <v>1.915</v>
      </c>
      <c r="N83" s="2">
        <v>2.3570000000000002</v>
      </c>
      <c r="O83" s="2">
        <v>2.76</v>
      </c>
      <c r="P83" s="2">
        <v>2.8530000000000002</v>
      </c>
    </row>
    <row r="84" spans="2:16">
      <c r="B84" s="2" t="s">
        <v>98</v>
      </c>
      <c r="C84" s="2">
        <v>1.663</v>
      </c>
      <c r="D84" s="2">
        <v>1.669</v>
      </c>
      <c r="E84" s="2">
        <v>1.667</v>
      </c>
      <c r="F84" s="2">
        <v>1.6559999999999999</v>
      </c>
      <c r="G84" s="2">
        <v>1.6479999999999999</v>
      </c>
      <c r="H84" s="2">
        <v>1.667</v>
      </c>
      <c r="I84" s="2">
        <v>1.6830000000000001</v>
      </c>
      <c r="J84" s="2">
        <v>1.6950000000000001</v>
      </c>
      <c r="K84" s="2">
        <v>1.712</v>
      </c>
      <c r="L84" s="2">
        <v>1.8560000000000001</v>
      </c>
      <c r="M84" s="2">
        <v>2.14</v>
      </c>
      <c r="N84" s="2">
        <v>2.5720000000000001</v>
      </c>
      <c r="O84" s="2">
        <v>2.8580000000000001</v>
      </c>
      <c r="P84" s="2">
        <v>2.9489999999999998</v>
      </c>
    </row>
    <row r="85" spans="2:16">
      <c r="B85" s="2" t="s">
        <v>99</v>
      </c>
      <c r="C85" s="2">
        <v>1.6080000000000001</v>
      </c>
      <c r="D85" s="2">
        <v>1.619</v>
      </c>
      <c r="E85" s="2">
        <v>1.617</v>
      </c>
      <c r="F85" s="2">
        <v>1.603</v>
      </c>
      <c r="G85" s="2">
        <v>1.593</v>
      </c>
      <c r="H85" s="2">
        <v>1.619</v>
      </c>
      <c r="I85" s="2">
        <v>1.6359999999999999</v>
      </c>
      <c r="J85" s="2">
        <v>1.651</v>
      </c>
      <c r="K85" s="2">
        <v>1.673</v>
      </c>
      <c r="L85" s="2">
        <v>1.712</v>
      </c>
      <c r="M85" s="2">
        <v>1.837</v>
      </c>
      <c r="N85" s="2">
        <v>2.1629999999999998</v>
      </c>
      <c r="O85" s="2">
        <v>2.403</v>
      </c>
      <c r="P85" s="2">
        <v>2.52</v>
      </c>
    </row>
    <row r="86" spans="2:16">
      <c r="B86" s="2" t="s">
        <v>100</v>
      </c>
      <c r="C86" s="2">
        <v>1.6319999999999999</v>
      </c>
      <c r="D86" s="2">
        <v>1.6379999999999999</v>
      </c>
      <c r="E86" s="2">
        <v>1.6359999999999999</v>
      </c>
      <c r="F86" s="2">
        <v>1.63</v>
      </c>
      <c r="G86" s="2">
        <v>1.62</v>
      </c>
      <c r="H86" s="2">
        <v>1.641</v>
      </c>
      <c r="I86" s="2">
        <v>1.6579999999999999</v>
      </c>
      <c r="J86" s="2">
        <v>1.669</v>
      </c>
      <c r="K86" s="2">
        <v>1.6830000000000001</v>
      </c>
      <c r="L86" s="2">
        <v>1.792</v>
      </c>
      <c r="M86" s="2">
        <v>2.0790000000000002</v>
      </c>
      <c r="N86" s="2">
        <v>2.5089999999999999</v>
      </c>
      <c r="O86" s="2">
        <v>2.7690000000000001</v>
      </c>
      <c r="P86" s="2">
        <v>2.8740000000000001</v>
      </c>
    </row>
    <row r="87" spans="2:16">
      <c r="B87" s="2" t="s">
        <v>101</v>
      </c>
      <c r="C87" s="2">
        <v>1.64</v>
      </c>
      <c r="D87" s="2">
        <v>1.651</v>
      </c>
      <c r="E87" s="2">
        <v>1.649</v>
      </c>
      <c r="F87" s="2">
        <v>1.6439999999999999</v>
      </c>
      <c r="G87" s="2">
        <v>1.6419999999999999</v>
      </c>
      <c r="H87" s="2">
        <v>1.6619999999999999</v>
      </c>
      <c r="I87" s="2">
        <v>1.6779999999999999</v>
      </c>
      <c r="J87" s="2">
        <v>1.6910000000000001</v>
      </c>
      <c r="K87" s="2">
        <v>1.7110000000000001</v>
      </c>
      <c r="L87" s="2">
        <v>1.8560000000000001</v>
      </c>
      <c r="M87" s="2">
        <v>2.149</v>
      </c>
      <c r="N87" s="2">
        <v>2.5750000000000002</v>
      </c>
      <c r="O87" s="2">
        <v>2.839</v>
      </c>
      <c r="P87" s="2">
        <v>2.9350000000000001</v>
      </c>
    </row>
    <row r="88" spans="2:16">
      <c r="B88" s="2" t="s">
        <v>102</v>
      </c>
      <c r="C88" s="2">
        <v>1.6240000000000001</v>
      </c>
      <c r="D88" s="2">
        <v>1.63</v>
      </c>
      <c r="E88" s="2">
        <v>1.627</v>
      </c>
      <c r="F88" s="2">
        <v>1.61</v>
      </c>
      <c r="G88" s="2">
        <v>1.6</v>
      </c>
      <c r="H88" s="2">
        <v>1.623</v>
      </c>
      <c r="I88" s="2">
        <v>1.635</v>
      </c>
      <c r="J88" s="2">
        <v>1.65</v>
      </c>
      <c r="K88" s="2">
        <v>1.681</v>
      </c>
      <c r="L88" s="2">
        <v>1.82</v>
      </c>
      <c r="M88" s="2">
        <v>2.0070000000000001</v>
      </c>
      <c r="N88" s="2">
        <v>2.3610000000000002</v>
      </c>
      <c r="O88" s="2">
        <v>2.6520000000000001</v>
      </c>
      <c r="P88" s="2">
        <v>2.7450000000000001</v>
      </c>
    </row>
    <row r="89" spans="2:16">
      <c r="B89" s="2" t="s">
        <v>103</v>
      </c>
      <c r="C89" s="2">
        <v>1.6080000000000001</v>
      </c>
      <c r="D89" s="2">
        <v>1.619</v>
      </c>
      <c r="E89" s="2">
        <v>1.617</v>
      </c>
      <c r="F89" s="2">
        <v>1.603</v>
      </c>
      <c r="G89" s="2">
        <v>1.593</v>
      </c>
      <c r="H89" s="2">
        <v>1.619</v>
      </c>
      <c r="I89" s="2">
        <v>1.6359999999999999</v>
      </c>
      <c r="J89" s="2">
        <v>1.651</v>
      </c>
      <c r="K89" s="2">
        <v>1.673</v>
      </c>
      <c r="L89" s="2">
        <v>1.712</v>
      </c>
      <c r="M89" s="2">
        <v>1.837</v>
      </c>
      <c r="N89" s="2">
        <v>2.1629999999999998</v>
      </c>
      <c r="O89" s="2">
        <v>2.403</v>
      </c>
      <c r="P89" s="2">
        <v>2.52</v>
      </c>
    </row>
    <row r="90" spans="2:16">
      <c r="B90" s="2" t="s">
        <v>104</v>
      </c>
      <c r="C90" s="2">
        <v>1.6240000000000001</v>
      </c>
      <c r="D90" s="2">
        <v>1.63</v>
      </c>
      <c r="E90" s="2">
        <v>1.627</v>
      </c>
      <c r="F90" s="2">
        <v>1.61</v>
      </c>
      <c r="G90" s="2">
        <v>1.6</v>
      </c>
      <c r="H90" s="2">
        <v>1.623</v>
      </c>
      <c r="I90" s="2">
        <v>1.635</v>
      </c>
      <c r="J90" s="2">
        <v>1.65</v>
      </c>
      <c r="K90" s="2">
        <v>1.6819999999999999</v>
      </c>
      <c r="L90" s="2">
        <v>1.82</v>
      </c>
      <c r="M90" s="2">
        <v>2.0070000000000001</v>
      </c>
      <c r="N90" s="2">
        <v>2.3610000000000002</v>
      </c>
      <c r="O90" s="2">
        <v>2.6520000000000001</v>
      </c>
      <c r="P90" s="2">
        <v>2.7450000000000001</v>
      </c>
    </row>
    <row r="91" spans="2:16">
      <c r="B91" s="2" t="s">
        <v>105</v>
      </c>
      <c r="C91" s="2">
        <v>1.64</v>
      </c>
      <c r="D91" s="2">
        <v>1.647</v>
      </c>
      <c r="E91" s="2">
        <v>1.6439999999999999</v>
      </c>
      <c r="F91" s="2">
        <v>1.6339999999999999</v>
      </c>
      <c r="G91" s="2">
        <v>1.62</v>
      </c>
      <c r="H91" s="2">
        <v>1.6379999999999999</v>
      </c>
      <c r="I91" s="2">
        <v>1.6519999999999999</v>
      </c>
      <c r="J91" s="2">
        <v>1.663</v>
      </c>
      <c r="K91" s="2">
        <v>1.679</v>
      </c>
      <c r="L91" s="2">
        <v>1.8049999999999999</v>
      </c>
      <c r="M91" s="2">
        <v>2.0790000000000002</v>
      </c>
      <c r="N91" s="2">
        <v>2.5129999999999999</v>
      </c>
      <c r="O91" s="2">
        <v>2.7719999999999998</v>
      </c>
      <c r="P91" s="2">
        <v>2.8759999999999999</v>
      </c>
    </row>
    <row r="92" spans="2:16">
      <c r="B92" s="2" t="s">
        <v>106</v>
      </c>
      <c r="C92" s="2">
        <v>1.4319999999999999</v>
      </c>
      <c r="D92" s="2">
        <v>1.4490000000000001</v>
      </c>
      <c r="E92" s="2">
        <v>1.458</v>
      </c>
      <c r="F92" s="2">
        <v>1.4590000000000001</v>
      </c>
      <c r="G92" s="2">
        <v>1.4550000000000001</v>
      </c>
      <c r="H92" s="2">
        <v>1.4710000000000001</v>
      </c>
      <c r="I92" s="2">
        <v>1.462</v>
      </c>
      <c r="J92" s="2">
        <v>1.474</v>
      </c>
      <c r="K92" s="2">
        <v>1.502</v>
      </c>
      <c r="L92" s="2">
        <v>1.52</v>
      </c>
      <c r="M92" s="2">
        <v>1.5549999999999999</v>
      </c>
      <c r="N92" s="2">
        <v>1.597</v>
      </c>
      <c r="O92" s="2">
        <v>1.579</v>
      </c>
      <c r="P92" s="2">
        <v>1.5620000000000001</v>
      </c>
    </row>
    <row r="93" spans="2:16">
      <c r="B93" s="2" t="s">
        <v>107</v>
      </c>
      <c r="C93" s="2">
        <v>1.6180000000000001</v>
      </c>
      <c r="D93" s="2">
        <v>1.629</v>
      </c>
      <c r="E93" s="2">
        <v>1.6319999999999999</v>
      </c>
      <c r="F93" s="2">
        <v>1.619</v>
      </c>
      <c r="G93" s="2">
        <v>1.61</v>
      </c>
      <c r="H93" s="2">
        <v>1.6319999999999999</v>
      </c>
      <c r="I93" s="2">
        <v>1.651</v>
      </c>
      <c r="J93" s="2">
        <v>1.6679999999999999</v>
      </c>
      <c r="K93" s="2">
        <v>1.6919999999999999</v>
      </c>
      <c r="L93" s="2">
        <v>1.73</v>
      </c>
      <c r="M93" s="2">
        <v>1.8580000000000001</v>
      </c>
      <c r="N93" s="2">
        <v>2.1749999999999998</v>
      </c>
      <c r="O93" s="2">
        <v>2.4239999999999999</v>
      </c>
      <c r="P93" s="2">
        <v>2.5369999999999999</v>
      </c>
    </row>
  </sheetData>
  <dataConsolidate/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</vt:i4>
      </vt:variant>
    </vt:vector>
  </HeadingPairs>
  <TitlesOfParts>
    <vt:vector size="4" baseType="lpstr">
      <vt:lpstr>Setting</vt:lpstr>
      <vt:lpstr>Delta</vt:lpstr>
      <vt:lpstr>국내커브</vt:lpstr>
      <vt:lpstr>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willbe</dc:creator>
  <cp:lastModifiedBy>willbe</cp:lastModifiedBy>
  <dcterms:created xsi:type="dcterms:W3CDTF">2019-10-25T14:26:35Z</dcterms:created>
  <dcterms:modified xsi:type="dcterms:W3CDTF">2019-10-27T03:00:55Z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ssemblyLocation">
    <vt:lpwstr>GreekAnalysis.vsto|40ccf2ae-ef42-4327-9f26-6ef59b265472|vstolocal</vt:lpwstr>
  </property>
  <property fmtid="{D5CDD505-2E9C-101B-9397-08002B2CF9AE}" pid="3" name="_AssemblyName">
    <vt:lpwstr>4E3C66D5-58D4-491E-A7D4-64AF99AF6E8B</vt:lpwstr>
  </property>
</Properties>
</file>

<file path=vstoDataStore/_rels/item1.xml.rels>&#65279;<?xml version="1.0" encoding="utf-8"?><Relationships xmlns="http://schemas.openxmlformats.org/package/2006/relationships"><Relationship Type="http://schemas.openxmlformats.org/officeDocument/2006/relationships/customXmlProps" Target="itemProps1.xml" Id="R950a3f5772914456" /></Relationships>
</file>

<file path=vstoDataStore/item1.xml><?xml version="1.0" encoding="utf-8"?>
<cdm:cachedDataManifest xmlns:cdm="http://schemas.microsoft.com/2004/VisualStudio/Tools/Applications/CachedDataManifest.xsd" cdm:revision="1"/>
</file>

<file path=vstoDataStore/itemProps1.xml><?xml version="1.0" encoding="utf-8"?>
<ds:datastoreItem xmlns:ds="http://schemas.openxmlformats.org/officeDocument/2006/customXml" ds:itemID="{4BFFF7D3-2801-4876-A16F-1BB9B5D1B5B6}">
  <ds:schemaRefs/>
</ds:datastoreItem>
</file>